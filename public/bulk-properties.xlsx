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90E046B-8C45-4C2B-B728-46F08D86568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perties" sheetId="1" r:id="rId1"/>
    <sheet name="Instructions" sheetId="2" r:id="rId2"/>
  </sheets>
  <definedNames>
    <definedName name="_xlnm._FilterDatabase" localSheetId="0" hidden="1">Properties!$A$4:$R$205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5" i="1" l="1"/>
  <c r="I5" i="1"/>
  <c r="K5" i="1"/>
  <c r="K205" i="1"/>
  <c r="I205" i="1"/>
  <c r="A205" i="1"/>
  <c r="K204" i="1"/>
  <c r="I204" i="1"/>
  <c r="A204" i="1"/>
  <c r="K203" i="1"/>
  <c r="I203" i="1"/>
  <c r="A203" i="1"/>
  <c r="K202" i="1"/>
  <c r="I202" i="1"/>
  <c r="A202" i="1"/>
  <c r="K201" i="1"/>
  <c r="I201" i="1"/>
  <c r="A201" i="1"/>
  <c r="K200" i="1"/>
  <c r="I200" i="1"/>
  <c r="A200" i="1"/>
  <c r="K199" i="1"/>
  <c r="I199" i="1"/>
  <c r="A199" i="1"/>
  <c r="K198" i="1"/>
  <c r="I198" i="1"/>
  <c r="A198" i="1"/>
  <c r="K197" i="1"/>
  <c r="I197" i="1"/>
  <c r="A197" i="1"/>
  <c r="K196" i="1"/>
  <c r="I196" i="1"/>
  <c r="A196" i="1"/>
  <c r="K195" i="1"/>
  <c r="I195" i="1"/>
  <c r="A195" i="1"/>
  <c r="K194" i="1"/>
  <c r="I194" i="1"/>
  <c r="A194" i="1"/>
  <c r="K193" i="1"/>
  <c r="I193" i="1"/>
  <c r="A193" i="1"/>
  <c r="K192" i="1"/>
  <c r="I192" i="1"/>
  <c r="A192" i="1"/>
  <c r="K191" i="1"/>
  <c r="I191" i="1"/>
  <c r="A191" i="1"/>
  <c r="K190" i="1"/>
  <c r="I190" i="1"/>
  <c r="A190" i="1"/>
  <c r="K189" i="1"/>
  <c r="I189" i="1"/>
  <c r="A189" i="1"/>
  <c r="K188" i="1"/>
  <c r="I188" i="1"/>
  <c r="A188" i="1"/>
  <c r="K187" i="1"/>
  <c r="I187" i="1"/>
  <c r="A187" i="1"/>
  <c r="K186" i="1"/>
  <c r="I186" i="1"/>
  <c r="A186" i="1"/>
  <c r="K185" i="1"/>
  <c r="I185" i="1"/>
  <c r="A185" i="1"/>
  <c r="K184" i="1"/>
  <c r="I184" i="1"/>
  <c r="A184" i="1"/>
  <c r="K183" i="1"/>
  <c r="I183" i="1"/>
  <c r="A183" i="1"/>
  <c r="K182" i="1"/>
  <c r="I182" i="1"/>
  <c r="A182" i="1"/>
  <c r="K181" i="1"/>
  <c r="I181" i="1"/>
  <c r="A181" i="1"/>
  <c r="K180" i="1"/>
  <c r="I180" i="1"/>
  <c r="A180" i="1"/>
  <c r="K179" i="1"/>
  <c r="I179" i="1"/>
  <c r="A179" i="1"/>
  <c r="K178" i="1"/>
  <c r="I178" i="1"/>
  <c r="A178" i="1"/>
  <c r="K177" i="1"/>
  <c r="I177" i="1"/>
  <c r="A177" i="1"/>
  <c r="K176" i="1"/>
  <c r="I176" i="1"/>
  <c r="A176" i="1"/>
  <c r="K175" i="1"/>
  <c r="I175" i="1"/>
  <c r="A175" i="1"/>
  <c r="K174" i="1"/>
  <c r="I174" i="1"/>
  <c r="A174" i="1"/>
  <c r="K173" i="1"/>
  <c r="I173" i="1"/>
  <c r="A173" i="1"/>
  <c r="K172" i="1"/>
  <c r="I172" i="1"/>
  <c r="A172" i="1"/>
  <c r="K171" i="1"/>
  <c r="I171" i="1"/>
  <c r="A171" i="1"/>
  <c r="K170" i="1"/>
  <c r="I170" i="1"/>
  <c r="A170" i="1"/>
  <c r="K169" i="1"/>
  <c r="I169" i="1"/>
  <c r="A169" i="1"/>
  <c r="K168" i="1"/>
  <c r="I168" i="1"/>
  <c r="A168" i="1"/>
  <c r="K167" i="1"/>
  <c r="I167" i="1"/>
  <c r="A167" i="1"/>
  <c r="K166" i="1"/>
  <c r="I166" i="1"/>
  <c r="A166" i="1"/>
  <c r="K165" i="1"/>
  <c r="I165" i="1"/>
  <c r="A165" i="1"/>
  <c r="K164" i="1"/>
  <c r="I164" i="1"/>
  <c r="A164" i="1"/>
  <c r="K163" i="1"/>
  <c r="I163" i="1"/>
  <c r="A163" i="1"/>
  <c r="K162" i="1"/>
  <c r="I162" i="1"/>
  <c r="A162" i="1"/>
  <c r="K161" i="1"/>
  <c r="I161" i="1"/>
  <c r="A161" i="1"/>
  <c r="K160" i="1"/>
  <c r="I160" i="1"/>
  <c r="A160" i="1"/>
  <c r="K159" i="1"/>
  <c r="I159" i="1"/>
  <c r="A159" i="1"/>
  <c r="K158" i="1"/>
  <c r="I158" i="1"/>
  <c r="A158" i="1"/>
  <c r="K157" i="1"/>
  <c r="I157" i="1"/>
  <c r="A157" i="1"/>
  <c r="K156" i="1"/>
  <c r="I156" i="1"/>
  <c r="A156" i="1"/>
  <c r="K155" i="1"/>
  <c r="I155" i="1"/>
  <c r="A155" i="1"/>
  <c r="K154" i="1"/>
  <c r="I154" i="1"/>
  <c r="A154" i="1"/>
  <c r="K153" i="1"/>
  <c r="I153" i="1"/>
  <c r="A153" i="1"/>
  <c r="K152" i="1"/>
  <c r="I152" i="1"/>
  <c r="A152" i="1"/>
  <c r="K151" i="1"/>
  <c r="I151" i="1"/>
  <c r="A151" i="1"/>
  <c r="K150" i="1"/>
  <c r="I150" i="1"/>
  <c r="A150" i="1"/>
  <c r="K149" i="1"/>
  <c r="I149" i="1"/>
  <c r="A149" i="1"/>
  <c r="K148" i="1"/>
  <c r="I148" i="1"/>
  <c r="A148" i="1"/>
  <c r="K147" i="1"/>
  <c r="I147" i="1"/>
  <c r="A147" i="1"/>
  <c r="K146" i="1"/>
  <c r="I146" i="1"/>
  <c r="A146" i="1"/>
  <c r="K145" i="1"/>
  <c r="I145" i="1"/>
  <c r="A145" i="1"/>
  <c r="K144" i="1"/>
  <c r="I144" i="1"/>
  <c r="A144" i="1"/>
  <c r="K143" i="1"/>
  <c r="I143" i="1"/>
  <c r="A143" i="1"/>
  <c r="K142" i="1"/>
  <c r="I142" i="1"/>
  <c r="A142" i="1"/>
  <c r="K141" i="1"/>
  <c r="I141" i="1"/>
  <c r="A141" i="1"/>
  <c r="K140" i="1"/>
  <c r="I140" i="1"/>
  <c r="A140" i="1"/>
  <c r="K139" i="1"/>
  <c r="I139" i="1"/>
  <c r="A139" i="1"/>
  <c r="K138" i="1"/>
  <c r="I138" i="1"/>
  <c r="A138" i="1"/>
  <c r="K137" i="1"/>
  <c r="I137" i="1"/>
  <c r="A137" i="1"/>
  <c r="K136" i="1"/>
  <c r="I136" i="1"/>
  <c r="A136" i="1"/>
  <c r="K135" i="1"/>
  <c r="I135" i="1"/>
  <c r="A135" i="1"/>
  <c r="K134" i="1"/>
  <c r="I134" i="1"/>
  <c r="A134" i="1"/>
  <c r="K133" i="1"/>
  <c r="I133" i="1"/>
  <c r="A133" i="1"/>
  <c r="K132" i="1"/>
  <c r="I132" i="1"/>
  <c r="A132" i="1"/>
  <c r="K131" i="1"/>
  <c r="I131" i="1"/>
  <c r="A131" i="1"/>
  <c r="K130" i="1"/>
  <c r="I130" i="1"/>
  <c r="A130" i="1"/>
  <c r="K129" i="1"/>
  <c r="I129" i="1"/>
  <c r="A129" i="1"/>
  <c r="K128" i="1"/>
  <c r="I128" i="1"/>
  <c r="A128" i="1"/>
  <c r="K127" i="1"/>
  <c r="I127" i="1"/>
  <c r="A127" i="1"/>
  <c r="K126" i="1"/>
  <c r="I126" i="1"/>
  <c r="A126" i="1"/>
  <c r="K125" i="1"/>
  <c r="I125" i="1"/>
  <c r="A125" i="1"/>
  <c r="K124" i="1"/>
  <c r="I124" i="1"/>
  <c r="A124" i="1"/>
  <c r="K123" i="1"/>
  <c r="I123" i="1"/>
  <c r="A123" i="1"/>
  <c r="K122" i="1"/>
  <c r="I122" i="1"/>
  <c r="A122" i="1"/>
  <c r="K121" i="1"/>
  <c r="I121" i="1"/>
  <c r="A121" i="1"/>
  <c r="K120" i="1"/>
  <c r="I120" i="1"/>
  <c r="A120" i="1"/>
  <c r="K119" i="1"/>
  <c r="I119" i="1"/>
  <c r="A119" i="1"/>
  <c r="K118" i="1"/>
  <c r="I118" i="1"/>
  <c r="A118" i="1"/>
  <c r="K117" i="1"/>
  <c r="I117" i="1"/>
  <c r="A117" i="1"/>
  <c r="K116" i="1"/>
  <c r="I116" i="1"/>
  <c r="A116" i="1"/>
  <c r="K115" i="1"/>
  <c r="I115" i="1"/>
  <c r="A115" i="1"/>
  <c r="K114" i="1"/>
  <c r="I114" i="1"/>
  <c r="A114" i="1"/>
  <c r="K113" i="1"/>
  <c r="I113" i="1"/>
  <c r="A113" i="1"/>
  <c r="K112" i="1"/>
  <c r="I112" i="1"/>
  <c r="A112" i="1"/>
  <c r="K111" i="1"/>
  <c r="I111" i="1"/>
  <c r="A111" i="1"/>
  <c r="K110" i="1"/>
  <c r="I110" i="1"/>
  <c r="A110" i="1"/>
  <c r="K109" i="1"/>
  <c r="I109" i="1"/>
  <c r="A109" i="1"/>
  <c r="K108" i="1"/>
  <c r="I108" i="1"/>
  <c r="A108" i="1"/>
  <c r="K107" i="1"/>
  <c r="I107" i="1"/>
  <c r="A107" i="1"/>
  <c r="K106" i="1"/>
  <c r="I106" i="1"/>
  <c r="A106" i="1"/>
  <c r="K105" i="1"/>
  <c r="I105" i="1"/>
  <c r="A105" i="1"/>
  <c r="K104" i="1"/>
  <c r="I104" i="1"/>
  <c r="A104" i="1"/>
  <c r="K103" i="1"/>
  <c r="I103" i="1"/>
  <c r="A103" i="1"/>
  <c r="K102" i="1"/>
  <c r="I102" i="1"/>
  <c r="A102" i="1"/>
  <c r="K101" i="1"/>
  <c r="I101" i="1"/>
  <c r="A101" i="1"/>
  <c r="K100" i="1"/>
  <c r="I100" i="1"/>
  <c r="A100" i="1"/>
  <c r="K99" i="1"/>
  <c r="I99" i="1"/>
  <c r="A99" i="1"/>
  <c r="K98" i="1"/>
  <c r="I98" i="1"/>
  <c r="A98" i="1"/>
  <c r="K97" i="1"/>
  <c r="I97" i="1"/>
  <c r="A97" i="1"/>
  <c r="K96" i="1"/>
  <c r="I96" i="1"/>
  <c r="A96" i="1"/>
  <c r="K95" i="1"/>
  <c r="I95" i="1"/>
  <c r="A95" i="1"/>
  <c r="K94" i="1"/>
  <c r="I94" i="1"/>
  <c r="A94" i="1"/>
  <c r="K93" i="1"/>
  <c r="I93" i="1"/>
  <c r="A93" i="1"/>
  <c r="K92" i="1"/>
  <c r="I92" i="1"/>
  <c r="A92" i="1"/>
  <c r="K91" i="1"/>
  <c r="I91" i="1"/>
  <c r="A91" i="1"/>
  <c r="K90" i="1"/>
  <c r="I90" i="1"/>
  <c r="A90" i="1"/>
  <c r="K89" i="1"/>
  <c r="I89" i="1"/>
  <c r="A89" i="1"/>
  <c r="K88" i="1"/>
  <c r="I88" i="1"/>
  <c r="A88" i="1"/>
  <c r="K87" i="1"/>
  <c r="I87" i="1"/>
  <c r="A87" i="1"/>
  <c r="K86" i="1"/>
  <c r="I86" i="1"/>
  <c r="A86" i="1"/>
  <c r="K85" i="1"/>
  <c r="I85" i="1"/>
  <c r="A85" i="1"/>
  <c r="K84" i="1"/>
  <c r="I84" i="1"/>
  <c r="A84" i="1"/>
  <c r="K83" i="1"/>
  <c r="I83" i="1"/>
  <c r="A83" i="1"/>
  <c r="K82" i="1"/>
  <c r="I82" i="1"/>
  <c r="A82" i="1"/>
  <c r="K81" i="1"/>
  <c r="I81" i="1"/>
  <c r="A81" i="1"/>
  <c r="K80" i="1"/>
  <c r="I80" i="1"/>
  <c r="A80" i="1"/>
  <c r="K79" i="1"/>
  <c r="I79" i="1"/>
  <c r="A79" i="1"/>
  <c r="K78" i="1"/>
  <c r="I78" i="1"/>
  <c r="A78" i="1"/>
  <c r="K77" i="1"/>
  <c r="I77" i="1"/>
  <c r="A77" i="1"/>
  <c r="K76" i="1"/>
  <c r="I76" i="1"/>
  <c r="A76" i="1"/>
  <c r="K75" i="1"/>
  <c r="I75" i="1"/>
  <c r="A75" i="1"/>
  <c r="K74" i="1"/>
  <c r="I74" i="1"/>
  <c r="A74" i="1"/>
  <c r="K73" i="1"/>
  <c r="I73" i="1"/>
  <c r="A73" i="1"/>
  <c r="K72" i="1"/>
  <c r="I72" i="1"/>
  <c r="A72" i="1"/>
  <c r="K71" i="1"/>
  <c r="I71" i="1"/>
  <c r="A71" i="1"/>
  <c r="K70" i="1"/>
  <c r="I70" i="1"/>
  <c r="A70" i="1"/>
  <c r="K69" i="1"/>
  <c r="I69" i="1"/>
  <c r="A69" i="1"/>
  <c r="K68" i="1"/>
  <c r="I68" i="1"/>
  <c r="A68" i="1"/>
  <c r="K67" i="1"/>
  <c r="I67" i="1"/>
  <c r="A67" i="1"/>
  <c r="K66" i="1"/>
  <c r="I66" i="1"/>
  <c r="A66" i="1"/>
  <c r="K65" i="1"/>
  <c r="I65" i="1"/>
  <c r="A65" i="1"/>
  <c r="K64" i="1"/>
  <c r="I64" i="1"/>
  <c r="A64" i="1"/>
  <c r="K63" i="1"/>
  <c r="I63" i="1"/>
  <c r="A63" i="1"/>
  <c r="K62" i="1"/>
  <c r="I62" i="1"/>
  <c r="A62" i="1"/>
  <c r="K61" i="1"/>
  <c r="I61" i="1"/>
  <c r="A61" i="1"/>
  <c r="K60" i="1"/>
  <c r="I60" i="1"/>
  <c r="A60" i="1"/>
  <c r="K59" i="1"/>
  <c r="I59" i="1"/>
  <c r="A59" i="1"/>
  <c r="K58" i="1"/>
  <c r="I58" i="1"/>
  <c r="A58" i="1"/>
  <c r="K57" i="1"/>
  <c r="I57" i="1"/>
  <c r="A57" i="1"/>
  <c r="K56" i="1"/>
  <c r="I56" i="1"/>
  <c r="A56" i="1"/>
  <c r="K55" i="1"/>
  <c r="I55" i="1"/>
  <c r="A55" i="1"/>
  <c r="K54" i="1"/>
  <c r="I54" i="1"/>
  <c r="A54" i="1"/>
  <c r="K53" i="1"/>
  <c r="I53" i="1"/>
  <c r="A53" i="1"/>
  <c r="K52" i="1"/>
  <c r="I52" i="1"/>
  <c r="A52" i="1"/>
  <c r="K51" i="1"/>
  <c r="I51" i="1"/>
  <c r="A51" i="1"/>
  <c r="K50" i="1"/>
  <c r="I50" i="1"/>
  <c r="A50" i="1"/>
  <c r="K49" i="1"/>
  <c r="I49" i="1"/>
  <c r="A49" i="1"/>
  <c r="K48" i="1"/>
  <c r="I48" i="1"/>
  <c r="A48" i="1"/>
  <c r="K47" i="1"/>
  <c r="I47" i="1"/>
  <c r="A47" i="1"/>
  <c r="K46" i="1"/>
  <c r="I46" i="1"/>
  <c r="A46" i="1"/>
  <c r="K45" i="1"/>
  <c r="I45" i="1"/>
  <c r="A45" i="1"/>
  <c r="K44" i="1"/>
  <c r="I44" i="1"/>
  <c r="A44" i="1"/>
  <c r="K43" i="1"/>
  <c r="I43" i="1"/>
  <c r="A43" i="1"/>
  <c r="K42" i="1"/>
  <c r="I42" i="1"/>
  <c r="A42" i="1"/>
  <c r="K41" i="1"/>
  <c r="I41" i="1"/>
  <c r="A41" i="1"/>
  <c r="K40" i="1"/>
  <c r="I40" i="1"/>
  <c r="A40" i="1"/>
  <c r="K39" i="1"/>
  <c r="I39" i="1"/>
  <c r="A39" i="1"/>
  <c r="K38" i="1"/>
  <c r="I38" i="1"/>
  <c r="A38" i="1"/>
  <c r="K37" i="1"/>
  <c r="I37" i="1"/>
  <c r="A37" i="1"/>
  <c r="K36" i="1"/>
  <c r="I36" i="1"/>
  <c r="A36" i="1"/>
  <c r="K35" i="1"/>
  <c r="I35" i="1"/>
  <c r="A35" i="1"/>
  <c r="K34" i="1"/>
  <c r="I34" i="1"/>
  <c r="A34" i="1"/>
  <c r="K33" i="1"/>
  <c r="I33" i="1"/>
  <c r="A33" i="1"/>
  <c r="K32" i="1"/>
  <c r="I32" i="1"/>
  <c r="A32" i="1"/>
  <c r="K31" i="1"/>
  <c r="I31" i="1"/>
  <c r="A31" i="1"/>
  <c r="K30" i="1"/>
  <c r="I30" i="1"/>
  <c r="A30" i="1"/>
  <c r="K29" i="1"/>
  <c r="I29" i="1"/>
  <c r="A29" i="1"/>
  <c r="K28" i="1"/>
  <c r="I28" i="1"/>
  <c r="A28" i="1"/>
  <c r="K27" i="1"/>
  <c r="I27" i="1"/>
  <c r="A27" i="1"/>
  <c r="K26" i="1"/>
  <c r="I26" i="1"/>
  <c r="A26" i="1"/>
  <c r="K25" i="1"/>
  <c r="I25" i="1"/>
  <c r="A25" i="1"/>
  <c r="K24" i="1"/>
  <c r="I24" i="1"/>
  <c r="A24" i="1"/>
  <c r="K23" i="1"/>
  <c r="I23" i="1"/>
  <c r="A23" i="1"/>
  <c r="K22" i="1"/>
  <c r="I22" i="1"/>
  <c r="A22" i="1"/>
  <c r="K21" i="1"/>
  <c r="I21" i="1"/>
  <c r="A21" i="1"/>
  <c r="K20" i="1"/>
  <c r="I20" i="1"/>
  <c r="A20" i="1"/>
  <c r="K19" i="1"/>
  <c r="I19" i="1"/>
  <c r="A19" i="1"/>
  <c r="K18" i="1"/>
  <c r="I18" i="1"/>
  <c r="A18" i="1"/>
  <c r="K17" i="1"/>
  <c r="I17" i="1"/>
  <c r="A17" i="1"/>
  <c r="K16" i="1"/>
  <c r="I16" i="1"/>
  <c r="A16" i="1"/>
  <c r="K15" i="1"/>
  <c r="I15" i="1"/>
  <c r="A15" i="1"/>
  <c r="K14" i="1"/>
  <c r="I14" i="1"/>
  <c r="A14" i="1"/>
  <c r="K13" i="1"/>
  <c r="I13" i="1"/>
  <c r="A13" i="1"/>
  <c r="K12" i="1"/>
  <c r="I12" i="1"/>
  <c r="A12" i="1"/>
  <c r="K11" i="1"/>
  <c r="I11" i="1"/>
  <c r="A11" i="1"/>
  <c r="K10" i="1"/>
  <c r="I10" i="1"/>
  <c r="A10" i="1"/>
  <c r="K9" i="1"/>
  <c r="I9" i="1"/>
  <c r="A9" i="1"/>
  <c r="K8" i="1"/>
  <c r="I8" i="1"/>
  <c r="A8" i="1"/>
  <c r="K7" i="1"/>
  <c r="I7" i="1"/>
  <c r="A7" i="1"/>
  <c r="K6" i="1"/>
  <c r="I6" i="1"/>
  <c r="A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000-000001000000}">
      <text>
        <r>
          <rPr>
            <sz val="10"/>
            <rFont val="Arial"/>
            <family val="2"/>
          </rPr>
          <t>This is a sample row showing the expected format. Replace or delete it before importing.</t>
        </r>
      </text>
    </comment>
  </commentList>
</comments>
</file>

<file path=xl/sharedStrings.xml><?xml version="1.0" encoding="utf-8"?>
<sst xmlns="http://schemas.openxmlformats.org/spreadsheetml/2006/main" count="132" uniqueCount="121">
  <si>
    <t>ATHARVA REAL INFRA  —  Property Bulk Upload Template</t>
  </si>
  <si>
    <t>Bulk data-entry sheet for website / admin-panel import  ·  see the Instructions tab before entering data</t>
  </si>
  <si>
    <t>*  Required field   ·   Grey shaded columns (ID, Price Numeric, Area sqm) are AUTOMATIC — do not type into them   ·   Type Price Display WITHOUT ₹ (e.g. '50 Lakh') — the symbol is added for you</t>
  </si>
  <si>
    <t>ID</t>
  </si>
  <si>
    <t>Title *</t>
  </si>
  <si>
    <t>Description *</t>
  </si>
  <si>
    <t>Property Type *</t>
  </si>
  <si>
    <t>District *</t>
  </si>
  <si>
    <t>Taluka *</t>
  </si>
  <si>
    <t>Village</t>
  </si>
  <si>
    <t>Price Display *</t>
  </si>
  <si>
    <t>Price Numeric</t>
  </si>
  <si>
    <t>Area Display *</t>
  </si>
  <si>
    <t>Area (sqm)</t>
  </si>
  <si>
    <t>Status</t>
  </si>
  <si>
    <t>Featured</t>
  </si>
  <si>
    <t>Latitude</t>
  </si>
  <si>
    <t>Longitude</t>
  </si>
  <si>
    <t>Cover Image URL</t>
  </si>
  <si>
    <t>Gallery URLs</t>
  </si>
  <si>
    <t>Video URLs</t>
  </si>
  <si>
    <t>EXAMPLE — Riverside Farmhouse Plot</t>
  </si>
  <si>
    <t>Beautiful agricultural land located near Kudal with excellent road connectivity, surrounded by greenery and suitable for long-term investment.</t>
  </si>
  <si>
    <t>Farmhouse</t>
  </si>
  <si>
    <t>Sindhudurg</t>
  </si>
  <si>
    <t>Kudal</t>
  </si>
  <si>
    <t>Pinguli</t>
  </si>
  <si>
    <t>50 Lakh</t>
  </si>
  <si>
    <t>1 Acre</t>
  </si>
  <si>
    <t>Available</t>
  </si>
  <si>
    <t>Yes</t>
  </si>
  <si>
    <t>https://example.com/images/cover.jpg</t>
  </si>
  <si>
    <t>https://example.com/images/1.jpg, https://example.com/images/2.jpg</t>
  </si>
  <si>
    <t>https://example.com/videos/tour.mp4</t>
  </si>
  <si>
    <t>ATHARVA REAL INFRA — Bulk Upload Instructions</t>
  </si>
  <si>
    <t>Overview</t>
  </si>
  <si>
    <t>This workbook is used to prepare property data for bulk import into the website / admin panel. Fill in the 'Properties' sheet, one row per property, then upload the file as instructed by your admin panel.</t>
  </si>
  <si>
    <t>Mandatory Fields (must be filled for every property)</t>
  </si>
  <si>
    <t>Title</t>
  </si>
  <si>
    <t>A short, clear name for the property listing.</t>
  </si>
  <si>
    <t>Description</t>
  </si>
  <si>
    <t>A detailed description. Wrap Text is on, so long text stays inside the cell and the row grows to fit it as you type.</t>
  </si>
  <si>
    <t>Property Type</t>
  </si>
  <si>
    <t>Chosen from the dropdown: Agricultural Land, Farmhouse, Commercial, Investment.</t>
  </si>
  <si>
    <t>District</t>
  </si>
  <si>
    <t>The district in which the property is located.</t>
  </si>
  <si>
    <t>Taluka</t>
  </si>
  <si>
    <t>The taluka (sub-district) in which the property is located.</t>
  </si>
  <si>
    <t>Price Display</t>
  </si>
  <si>
    <t>The human-readable price, entered WITHOUT the ₹ symbol — see the price rules below.</t>
  </si>
  <si>
    <t>Area Display</t>
  </si>
  <si>
    <t>The human-readable area, e.g. '1 Acre' — see the area rules below.</t>
  </si>
  <si>
    <t>A row that has any data entered will show a red highlight on any of these fields that is still blank — fill in the highlighted cells before uploading.</t>
  </si>
  <si>
    <t>Optional Fields</t>
  </si>
  <si>
    <t>The village, if applicable.</t>
  </si>
  <si>
    <t>Available, Sold, Reserved or On Hold. Leave blank if unknown.</t>
  </si>
  <si>
    <t>Yes or No. Leave blank if not applicable.</t>
  </si>
  <si>
    <t>Latitude / Longitude</t>
  </si>
  <si>
    <t>Decimal map coordinates (Latitude -90 to 90, Longitude -180 to 180).</t>
  </si>
  <si>
    <t>A single image URL used as the main listing photo.</t>
  </si>
  <si>
    <t>Multiple image URLs, separated by commas.</t>
  </si>
  <si>
    <t>Multiple video URLs, separated by commas.</t>
  </si>
  <si>
    <t>Automatically Generated Fields — do NOT type into these columns</t>
  </si>
  <si>
    <t>id</t>
  </si>
  <si>
    <t>Generated automatically as soon as a Title is entered (format ATH-0001, ATH-0002, ...).</t>
  </si>
  <si>
    <t>price_numeric</t>
  </si>
  <si>
    <t>Calculated automatically from Price Display. See the price rules below.</t>
  </si>
  <si>
    <t>area_sqm</t>
  </si>
  <si>
    <t>Calculated automatically from Area Display, converted to square metres. See rules below.</t>
  </si>
  <si>
    <t>These three columns are shaded grey with italic text so they are always visually distinguishable from the white, manually-edited columns.</t>
  </si>
  <si>
    <t>How to Enter 'Price Display' (the ₹ symbol is added for you)</t>
  </si>
  <si>
    <t>Just type the number and unit — do NOT type ₹ yourself. The cell is formatted to show the ₹ symbol automatically, so 'Price Display' will always read correctly (e.g. ₹ 50 Lakh) without you ever typing the symbol, and without it ever being duplicated. If you accidentally type ₹, the sheet will warn you and ask you to remove it.</t>
  </si>
  <si>
    <t>Recognised units (not case-sensitive): Crore / Crores / Cr · Lakh / Lakhs / Lac / Lacs / L · Thousand / K. You can also type a plain number with no unit (e.g. 5000000) and it will be used as-is.</t>
  </si>
  <si>
    <t>You Type</t>
  </si>
  <si>
    <t>Cell Displays</t>
  </si>
  <si>
    <t>Price Numeric (auto)</t>
  </si>
  <si>
    <t>₹ 50 Lakh</t>
  </si>
  <si>
    <t>5,000,000</t>
  </si>
  <si>
    <t>1.25 Crore</t>
  </si>
  <si>
    <t>₹ 1.25 Crore</t>
  </si>
  <si>
    <t>12,500,000</t>
  </si>
  <si>
    <t>2 Cr</t>
  </si>
  <si>
    <t>₹ 2 Cr</t>
  </si>
  <si>
    <t>20,000,000</t>
  </si>
  <si>
    <t>25 Lac</t>
  </si>
  <si>
    <t>₹ 25 Lac</t>
  </si>
  <si>
    <t>2,500,000</t>
  </si>
  <si>
    <t>75 Thousand</t>
  </si>
  <si>
    <t>₹ 75 Thousand</t>
  </si>
  <si>
    <t>75,000</t>
  </si>
  <si>
    <t>100K</t>
  </si>
  <si>
    <t>₹ 100K</t>
  </si>
  <si>
    <t>100,000</t>
  </si>
  <si>
    <t>5000000</t>
  </si>
  <si>
    <t>₹ 5,000,000</t>
  </si>
  <si>
    <t>How to Enter 'Area Display' &amp; How 'Area (sqm)' Is Calculated</t>
  </si>
  <si>
    <t>Type the area as: &lt;number&gt; &lt;unit&gt;. Supported units and their conversion to square metres are listed below (not case-sensitive).</t>
  </si>
  <si>
    <t>Unit</t>
  </si>
  <si>
    <t>Conversion to sqm</t>
  </si>
  <si>
    <t>Example</t>
  </si>
  <si>
    <t>Acre</t>
  </si>
  <si>
    <t>4046.8564224 sqm</t>
  </si>
  <si>
    <t>1 Acre → 4046.86</t>
  </si>
  <si>
    <t>Guntha</t>
  </si>
  <si>
    <t>101.17141056 sqm</t>
  </si>
  <si>
    <t>10 Guntha → 1011.71</t>
  </si>
  <si>
    <t>Hectare</t>
  </si>
  <si>
    <t>10,000 sqm</t>
  </si>
  <si>
    <t>2 Hectare → 20000</t>
  </si>
  <si>
    <t>Sq Ft</t>
  </si>
  <si>
    <t>0.09290304 sqm</t>
  </si>
  <si>
    <t>5000 Sq Ft → 464.52</t>
  </si>
  <si>
    <t>Sq M / SQM</t>
  </si>
  <si>
    <t>1 sqm</t>
  </si>
  <si>
    <t>500 Sq M → 500</t>
  </si>
  <si>
    <t>Dropdown Options</t>
  </si>
  <si>
    <t>Agricultural Land · Farmhouse · Commercial · Investment  (required, no free text allowed)</t>
  </si>
  <si>
    <t>Available · Sold · Reserved · On Hold  (optional)</t>
  </si>
  <si>
    <t>Yes · No  (optional)</t>
  </si>
  <si>
    <t>Tips for a Clean Upload</t>
  </si>
  <si>
    <t>• Delete or overwrite the yellow EXAMPLE row before uploading.
• Do not change the column order or header names — the import tool matches columns by name.
• Never type ₹ yourself in Price Display — it is added automatically and typing it will trigger a warning.
• Keep Area Display in the '&lt;number&gt; &lt;unit&gt;' format shown above so the automatic calculation works correctly.
• A red-highlighted cell means a required field is missing for that row.
• If a long description doesn't fully show, select the row and use Home &gt; Format &gt; AutoFit Row Height (or double-click the row border) to expand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</si>
</sst>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 &quot;#,##0;&quot;₹ -&quot;#,##0;&quot;₹ &quot;0;&quot;₹ &quot;@"/>
  </numFmts>
  <fonts count="1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FFFFFF"/>
      <name val="Calibri"/>
      <family val="2"/>
    </font>
    <font>
      <i/>
      <sz val="10.5"/>
      <color rgb="FFFFFFFF"/>
      <name val="Calibri"/>
      <family val="2"/>
    </font>
    <font>
      <b/>
      <sz val="9.5"/>
      <color rgb="FF0F2E30"/>
      <name val="Calibri"/>
      <family val="2"/>
    </font>
    <font>
      <b/>
      <sz val="11"/>
      <color rgb="FFFFFFFF"/>
      <name val="Calibri"/>
      <family val="2"/>
    </font>
    <font>
      <i/>
      <sz val="10.5"/>
      <color rgb="FF5B6B63"/>
      <name val="Calibri"/>
      <family val="2"/>
    </font>
    <font>
      <sz val="10.5"/>
      <color rgb="FF1A1A1A"/>
      <name val="Calibri"/>
      <family val="2"/>
    </font>
    <font>
      <b/>
      <sz val="12.5"/>
      <color rgb="FFFFFFFF"/>
      <name val="Calibri"/>
      <family val="2"/>
    </font>
    <font>
      <b/>
      <sz val="10.5"/>
      <color rgb="FF1B4D3E"/>
      <name val="Calibri"/>
      <family val="2"/>
    </font>
    <font>
      <b/>
      <sz val="10.5"/>
      <color rgb="FFFFFFFF"/>
      <name val="Calibri"/>
      <family val="2"/>
    </font>
    <font>
      <sz val="10.5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B4D3E"/>
        <bgColor rgb="FF14464A"/>
      </patternFill>
    </fill>
    <fill>
      <patternFill patternType="solid">
        <fgColor rgb="FF0F2E30"/>
        <bgColor rgb="FF1A1A1A"/>
      </patternFill>
    </fill>
    <fill>
      <patternFill patternType="solid">
        <fgColor rgb="FFEAF2EC"/>
        <bgColor rgb="FFEEF0EE"/>
      </patternFill>
    </fill>
    <fill>
      <patternFill patternType="solid">
        <fgColor rgb="FF14464A"/>
        <bgColor rgb="FF1B4D3E"/>
      </patternFill>
    </fill>
    <fill>
      <patternFill patternType="solid">
        <fgColor rgb="FFEEF0EE"/>
        <bgColor rgb="FFEAF2EC"/>
      </patternFill>
    </fill>
    <fill>
      <patternFill patternType="solid">
        <fgColor rgb="FFFFF7E0"/>
        <bgColor rgb="FFF5F7F5"/>
      </patternFill>
    </fill>
    <fill>
      <patternFill patternType="solid">
        <fgColor rgb="FFF5F7F5"/>
        <bgColor rgb="FFEEF0EE"/>
      </patternFill>
    </fill>
    <fill>
      <patternFill patternType="solid">
        <fgColor rgb="FFFFFFFF"/>
        <bgColor rgb="FFF5F7F5"/>
      </patternFill>
    </fill>
  </fills>
  <borders count="3">
    <border>
      <left/>
      <right/>
      <top/>
      <bottom/>
      <diagonal/>
    </border>
    <border>
      <left style="thin">
        <color rgb="FFC9D6CE"/>
      </left>
      <right style="thin">
        <color rgb="FFC9D6CE"/>
      </right>
      <top style="thin">
        <color rgb="FFC9D6CE"/>
      </top>
      <bottom style="thin">
        <color rgb="FFC9D6CE"/>
      </bottom>
      <diagonal/>
    </border>
    <border>
      <left style="thin">
        <color rgb="FFC9D6CE"/>
      </left>
      <right/>
      <top style="thin">
        <color rgb="FFC9D6CE"/>
      </top>
      <bottom style="thin">
        <color rgb="FFC9D6CE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1" fillId="9" borderId="1" xfId="0" applyFont="1" applyFill="1" applyBorder="1" applyAlignment="1">
      <alignment horizontal="left" vertical="center" indent="1"/>
    </xf>
    <xf numFmtId="0" fontId="11" fillId="8" borderId="1" xfId="0" applyFont="1" applyFill="1" applyBorder="1" applyAlignment="1">
      <alignment horizontal="left" vertical="center" indent="1"/>
    </xf>
    <xf numFmtId="0" fontId="10" fillId="2" borderId="1" xfId="0" applyFont="1" applyFill="1" applyBorder="1" applyAlignment="1">
      <alignment horizontal="left" vertical="center" indent="1"/>
    </xf>
    <xf numFmtId="0" fontId="7" fillId="8" borderId="2" xfId="0" applyFont="1" applyFill="1" applyBorder="1" applyAlignment="1">
      <alignment horizontal="left" vertical="top" wrapText="1"/>
    </xf>
    <xf numFmtId="0" fontId="7" fillId="9" borderId="2" xfId="0" applyFont="1" applyFill="1" applyBorder="1" applyAlignment="1">
      <alignment horizontal="left" vertical="top" wrapText="1"/>
    </xf>
    <xf numFmtId="0" fontId="8" fillId="5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top" wrapText="1"/>
    </xf>
    <xf numFmtId="164" fontId="7" fillId="7" borderId="1" xfId="0" applyNumberFormat="1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top" wrapText="1"/>
    </xf>
    <xf numFmtId="164" fontId="7" fillId="8" borderId="1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top" wrapText="1"/>
    </xf>
    <xf numFmtId="164" fontId="7" fillId="9" borderId="1" xfId="0" applyNumberFormat="1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top" wrapText="1" indent="1"/>
    </xf>
    <xf numFmtId="0" fontId="9" fillId="9" borderId="1" xfId="0" applyFont="1" applyFill="1" applyBorder="1" applyAlignment="1">
      <alignment horizontal="left" vertical="top" wrapText="1" indent="1"/>
    </xf>
    <xf numFmtId="0" fontId="10" fillId="2" borderId="1" xfId="0" applyFont="1" applyFill="1" applyBorder="1" applyAlignment="1">
      <alignment horizontal="left" vertical="center" indent="1"/>
    </xf>
    <xf numFmtId="0" fontId="11" fillId="8" borderId="1" xfId="0" applyFont="1" applyFill="1" applyBorder="1" applyAlignment="1">
      <alignment horizontal="left" vertical="center" indent="1"/>
    </xf>
    <xf numFmtId="0" fontId="11" fillId="9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3">
    <dxf>
      <fill>
        <patternFill>
          <bgColor rgb="FFF8D7DA"/>
        </patternFill>
      </fill>
    </dxf>
    <dxf>
      <fill>
        <patternFill>
          <bgColor rgb="FFF8D7DA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E0"/>
      <rgbColor rgb="FFEAF2EC"/>
      <rgbColor rgb="FF660066"/>
      <rgbColor rgb="FFFF8080"/>
      <rgbColor rgb="FF0066CC"/>
      <rgbColor rgb="FFC9D6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0EE"/>
      <rgbColor rgb="FFF5F7F5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B6B63"/>
      <rgbColor rgb="FF969696"/>
      <rgbColor rgb="FF14464A"/>
      <rgbColor rgb="FF339966"/>
      <rgbColor rgb="FF0F2E30"/>
      <rgbColor rgb="FF1A1A1A"/>
      <rgbColor rgb="FF993300"/>
      <rgbColor rgb="FF993366"/>
      <rgbColor rgb="FF333399"/>
      <rgbColor rgb="FF1B4D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4D3E"/>
  </sheetPr>
  <dimension ref="A1:R205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7" sqref="E7"/>
    </sheetView>
  </sheetViews>
  <sheetFormatPr defaultColWidth="8.6640625" defaultRowHeight="14.4" x14ac:dyDescent="0.3"/>
  <cols>
    <col min="1" max="1" width="12" customWidth="1"/>
    <col min="2" max="2" width="24" customWidth="1"/>
    <col min="3" max="3" width="42" customWidth="1"/>
    <col min="4" max="4" width="17" customWidth="1"/>
    <col min="5" max="7" width="14" customWidth="1"/>
    <col min="8" max="8" width="16" customWidth="1"/>
    <col min="9" max="9" width="15" customWidth="1"/>
    <col min="10" max="10" width="14" customWidth="1"/>
    <col min="11" max="11" width="12" customWidth="1"/>
    <col min="12" max="12" width="13" customWidth="1"/>
    <col min="13" max="15" width="11" customWidth="1"/>
    <col min="16" max="16" width="22" customWidth="1"/>
    <col min="17" max="17" width="26" customWidth="1"/>
    <col min="18" max="18" width="22" customWidth="1"/>
  </cols>
  <sheetData>
    <row r="1" spans="1:18" ht="31.5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19.5" customHeight="1" x14ac:dyDescent="0.3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8" customHeight="1" x14ac:dyDescent="0.3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30" customHeight="1" x14ac:dyDescent="0.3">
      <c r="A4" s="10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  <c r="I4" s="10" t="s">
        <v>11</v>
      </c>
      <c r="J4" s="11" t="s">
        <v>12</v>
      </c>
      <c r="K4" s="10" t="s">
        <v>13</v>
      </c>
      <c r="L4" s="11" t="s">
        <v>14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19</v>
      </c>
      <c r="R4" s="11" t="s">
        <v>20</v>
      </c>
    </row>
    <row r="5" spans="1:18" ht="57.75" customHeight="1" x14ac:dyDescent="0.3">
      <c r="A5" s="12" t="str">
        <f>IF(TRIM(B5)="","","ATH-"&amp;TEXT(1,"0000"))</f>
        <v>ATH-0001</v>
      </c>
      <c r="B5" s="13" t="s">
        <v>21</v>
      </c>
      <c r="C5" s="14" t="s">
        <v>22</v>
      </c>
      <c r="D5" s="13" t="s">
        <v>23</v>
      </c>
      <c r="E5" s="13" t="s">
        <v>24</v>
      </c>
      <c r="F5" s="13" t="s">
        <v>25</v>
      </c>
      <c r="G5" s="13" t="s">
        <v>26</v>
      </c>
      <c r="H5" s="15" t="s">
        <v>27</v>
      </c>
      <c r="I5" s="12">
        <f t="shared" ref="I5:I68" si="0">IFERROR(IF(TRIM(H5)="","",VALUE(IF(ISNUMBER(FIND(" ",TRIM(H5))),LEFT(TRIM(H5),FIND(" ",TRIM(H5))-1),IF(ISNUMBER(VALUE(TRIM(H5))),TRIM(H5),LEFT(TRIM(H5),LEN(TRIM(H5))-1))))*IF(OR(ISNUMBER(SEARCH("Crore",H5)),ISNUMBER(SEARCH("Cr",H5))),10000000,IF(OR(ISNUMBER(SEARCH("Lakh",H5)),ISNUMBER(SEARCH("Lac",H5)),ISNUMBER(SEARCH("L",H5))),100000,IF(OR(ISNUMBER(SEARCH("Thousand",H5)),ISNUMBER(SEARCH("K",H5))),1000,1)))),"")</f>
        <v>5000000</v>
      </c>
      <c r="J5" s="13" t="s">
        <v>28</v>
      </c>
      <c r="K5" s="12">
        <f t="shared" ref="K5:K68" si="1">IFERROR(IF(TRIM(J5)="","",ROUND(VALUE(IF(ISNUMBER(FIND(" ",TRIM(J5))),LEFT(TRIM(J5),FIND(" ",TRIM(J5))-1),IF(ISNUMBER(VALUE(TRIM(J5))),TRIM(J5),LEFT(TRIM(J5),LEN(TRIM(J5))-1))))*IF(ISNUMBER(SEARCH("Acre",J5)),4046.8564224,IF(ISNUMBER(SEARCH("Guntha",J5)),101.17141056,IF(ISNUMBER(SEARCH("Hectare",J5)),10000,IF(ISNUMBER(SEARCH("Sq Ft",J5)),0.09290304,IF(OR(ISNUMBER(SEARCH("Sq M",J5)),ISNUMBER(SEARCH("SQM",J5))),1,1))))),2)),"")</f>
        <v>4046.86</v>
      </c>
      <c r="L5" s="13" t="s">
        <v>29</v>
      </c>
      <c r="M5" s="13" t="s">
        <v>30</v>
      </c>
      <c r="N5" s="13">
        <v>16</v>
      </c>
      <c r="O5" s="13">
        <v>73.5</v>
      </c>
      <c r="P5" s="13" t="s">
        <v>31</v>
      </c>
      <c r="Q5" s="13" t="s">
        <v>32</v>
      </c>
      <c r="R5" s="13" t="s">
        <v>33</v>
      </c>
    </row>
    <row r="6" spans="1:18" ht="57.75" customHeight="1" x14ac:dyDescent="0.3">
      <c r="A6" s="12" t="str">
        <f>IF(TRIM(B6)="","","ATH-"&amp;TEXT(2,"0000"))</f>
        <v/>
      </c>
      <c r="B6" s="16"/>
      <c r="C6" s="17"/>
      <c r="D6" s="16"/>
      <c r="E6" s="16"/>
      <c r="F6" s="16"/>
      <c r="G6" s="16"/>
      <c r="H6" s="18"/>
      <c r="I6" s="12" t="str">
        <f t="shared" si="0"/>
        <v/>
      </c>
      <c r="J6" s="16"/>
      <c r="K6" s="12" t="str">
        <f t="shared" si="1"/>
        <v/>
      </c>
      <c r="L6" s="16"/>
      <c r="M6" s="16"/>
      <c r="N6" s="16"/>
      <c r="O6" s="16"/>
      <c r="P6" s="16"/>
      <c r="Q6" s="16"/>
      <c r="R6" s="16"/>
    </row>
    <row r="7" spans="1:18" ht="57.75" customHeight="1" x14ac:dyDescent="0.3">
      <c r="A7" s="12" t="str">
        <f>IF(TRIM(B7)="","","ATH-"&amp;TEXT(3,"0000"))</f>
        <v/>
      </c>
      <c r="B7" s="19"/>
      <c r="C7" s="20"/>
      <c r="D7" s="19"/>
      <c r="E7" s="19"/>
      <c r="F7" s="19"/>
      <c r="G7" s="19"/>
      <c r="H7" s="21"/>
      <c r="I7" s="12" t="str">
        <f t="shared" si="0"/>
        <v/>
      </c>
      <c r="J7" s="19"/>
      <c r="K7" s="12" t="str">
        <f t="shared" si="1"/>
        <v/>
      </c>
      <c r="L7" s="19"/>
      <c r="M7" s="19"/>
      <c r="N7" s="19"/>
      <c r="O7" s="19"/>
      <c r="P7" s="19"/>
      <c r="Q7" s="19"/>
      <c r="R7" s="19"/>
    </row>
    <row r="8" spans="1:18" ht="57.75" customHeight="1" x14ac:dyDescent="0.3">
      <c r="A8" s="12" t="str">
        <f>IF(TRIM(B8)="","","ATH-"&amp;TEXT(4,"0000"))</f>
        <v/>
      </c>
      <c r="B8" s="16"/>
      <c r="C8" s="17"/>
      <c r="D8" s="16"/>
      <c r="E8" s="16"/>
      <c r="F8" s="16"/>
      <c r="G8" s="16"/>
      <c r="H8" s="18"/>
      <c r="I8" s="12" t="str">
        <f t="shared" si="0"/>
        <v/>
      </c>
      <c r="J8" s="16"/>
      <c r="K8" s="12" t="str">
        <f t="shared" si="1"/>
        <v/>
      </c>
      <c r="L8" s="16"/>
      <c r="M8" s="16"/>
      <c r="N8" s="16"/>
      <c r="O8" s="16"/>
      <c r="P8" s="16"/>
      <c r="Q8" s="16"/>
      <c r="R8" s="16"/>
    </row>
    <row r="9" spans="1:18" ht="57.75" customHeight="1" x14ac:dyDescent="0.3">
      <c r="A9" s="12" t="str">
        <f>IF(TRIM(B9)="","","ATH-"&amp;TEXT(5,"0000"))</f>
        <v/>
      </c>
      <c r="B9" s="19"/>
      <c r="C9" s="20"/>
      <c r="D9" s="19"/>
      <c r="E9" s="19"/>
      <c r="F9" s="19"/>
      <c r="G9" s="19"/>
      <c r="H9" s="21"/>
      <c r="I9" s="12" t="str">
        <f t="shared" si="0"/>
        <v/>
      </c>
      <c r="J9" s="19"/>
      <c r="K9" s="12" t="str">
        <f t="shared" si="1"/>
        <v/>
      </c>
      <c r="L9" s="19"/>
      <c r="M9" s="19"/>
      <c r="N9" s="19"/>
      <c r="O9" s="19"/>
      <c r="P9" s="19"/>
      <c r="Q9" s="19"/>
      <c r="R9" s="19"/>
    </row>
    <row r="10" spans="1:18" ht="57.75" customHeight="1" x14ac:dyDescent="0.3">
      <c r="A10" s="12" t="str">
        <f>IF(TRIM(B10)="","","ATH-"&amp;TEXT(6,"0000"))</f>
        <v/>
      </c>
      <c r="B10" s="16"/>
      <c r="C10" s="17"/>
      <c r="D10" s="16"/>
      <c r="E10" s="16"/>
      <c r="F10" s="16"/>
      <c r="G10" s="16"/>
      <c r="H10" s="18"/>
      <c r="I10" s="12" t="str">
        <f t="shared" si="0"/>
        <v/>
      </c>
      <c r="J10" s="16"/>
      <c r="K10" s="12" t="str">
        <f t="shared" si="1"/>
        <v/>
      </c>
      <c r="L10" s="16"/>
      <c r="M10" s="16"/>
      <c r="N10" s="16"/>
      <c r="O10" s="16"/>
      <c r="P10" s="16"/>
      <c r="Q10" s="16"/>
      <c r="R10" s="16"/>
    </row>
    <row r="11" spans="1:18" ht="57.75" customHeight="1" x14ac:dyDescent="0.3">
      <c r="A11" s="12" t="str">
        <f>IF(TRIM(B11)="","","ATH-"&amp;TEXT(7,"0000"))</f>
        <v/>
      </c>
      <c r="B11" s="19"/>
      <c r="C11" s="20"/>
      <c r="D11" s="19"/>
      <c r="E11" s="19"/>
      <c r="F11" s="19"/>
      <c r="G11" s="19"/>
      <c r="H11" s="21"/>
      <c r="I11" s="12" t="str">
        <f t="shared" si="0"/>
        <v/>
      </c>
      <c r="J11" s="19"/>
      <c r="K11" s="12" t="str">
        <f t="shared" si="1"/>
        <v/>
      </c>
      <c r="L11" s="19"/>
      <c r="M11" s="19"/>
      <c r="N11" s="19"/>
      <c r="O11" s="19"/>
      <c r="P11" s="19"/>
      <c r="Q11" s="19"/>
      <c r="R11" s="19"/>
    </row>
    <row r="12" spans="1:18" ht="57.75" customHeight="1" x14ac:dyDescent="0.3">
      <c r="A12" s="12" t="str">
        <f>IF(TRIM(B12)="","","ATH-"&amp;TEXT(8,"0000"))</f>
        <v/>
      </c>
      <c r="B12" s="16"/>
      <c r="C12" s="17"/>
      <c r="D12" s="16"/>
      <c r="E12" s="16"/>
      <c r="F12" s="16"/>
      <c r="G12" s="16"/>
      <c r="H12" s="18"/>
      <c r="I12" s="12" t="str">
        <f t="shared" si="0"/>
        <v/>
      </c>
      <c r="J12" s="16"/>
      <c r="K12" s="12" t="str">
        <f t="shared" si="1"/>
        <v/>
      </c>
      <c r="L12" s="16"/>
      <c r="M12" s="16"/>
      <c r="N12" s="16"/>
      <c r="O12" s="16"/>
      <c r="P12" s="16"/>
      <c r="Q12" s="16"/>
      <c r="R12" s="16"/>
    </row>
    <row r="13" spans="1:18" ht="57.75" customHeight="1" x14ac:dyDescent="0.3">
      <c r="A13" s="12" t="str">
        <f>IF(TRIM(B13)="","","ATH-"&amp;TEXT(9,"0000"))</f>
        <v/>
      </c>
      <c r="B13" s="19"/>
      <c r="C13" s="20"/>
      <c r="D13" s="19"/>
      <c r="E13" s="19"/>
      <c r="F13" s="19"/>
      <c r="G13" s="19"/>
      <c r="H13" s="21"/>
      <c r="I13" s="12" t="str">
        <f t="shared" si="0"/>
        <v/>
      </c>
      <c r="J13" s="19"/>
      <c r="K13" s="12" t="str">
        <f t="shared" si="1"/>
        <v/>
      </c>
      <c r="L13" s="19"/>
      <c r="M13" s="19"/>
      <c r="N13" s="19"/>
      <c r="O13" s="19"/>
      <c r="P13" s="19"/>
      <c r="Q13" s="19"/>
      <c r="R13" s="19"/>
    </row>
    <row r="14" spans="1:18" ht="57.75" customHeight="1" x14ac:dyDescent="0.3">
      <c r="A14" s="12" t="str">
        <f>IF(TRIM(B14)="","","ATH-"&amp;TEXT(10,"0000"))</f>
        <v/>
      </c>
      <c r="B14" s="16"/>
      <c r="C14" s="17"/>
      <c r="D14" s="16"/>
      <c r="E14" s="16"/>
      <c r="F14" s="16"/>
      <c r="G14" s="16"/>
      <c r="H14" s="18"/>
      <c r="I14" s="12" t="str">
        <f t="shared" si="0"/>
        <v/>
      </c>
      <c r="J14" s="16"/>
      <c r="K14" s="12" t="str">
        <f t="shared" si="1"/>
        <v/>
      </c>
      <c r="L14" s="16"/>
      <c r="M14" s="16"/>
      <c r="N14" s="16"/>
      <c r="O14" s="16"/>
      <c r="P14" s="16"/>
      <c r="Q14" s="16"/>
      <c r="R14" s="16"/>
    </row>
    <row r="15" spans="1:18" ht="57.75" customHeight="1" x14ac:dyDescent="0.3">
      <c r="A15" s="12" t="str">
        <f>IF(TRIM(B15)="","","ATH-"&amp;TEXT(11,"0000"))</f>
        <v/>
      </c>
      <c r="B15" s="19"/>
      <c r="C15" s="20"/>
      <c r="D15" s="19"/>
      <c r="E15" s="19"/>
      <c r="F15" s="19"/>
      <c r="G15" s="19"/>
      <c r="H15" s="21"/>
      <c r="I15" s="12" t="str">
        <f t="shared" si="0"/>
        <v/>
      </c>
      <c r="J15" s="19"/>
      <c r="K15" s="12" t="str">
        <f t="shared" si="1"/>
        <v/>
      </c>
      <c r="L15" s="19"/>
      <c r="M15" s="19"/>
      <c r="N15" s="19"/>
      <c r="O15" s="19"/>
      <c r="P15" s="19"/>
      <c r="Q15" s="19"/>
      <c r="R15" s="19"/>
    </row>
    <row r="16" spans="1:18" ht="57.75" customHeight="1" x14ac:dyDescent="0.3">
      <c r="A16" s="12" t="str">
        <f>IF(TRIM(B16)="","","ATH-"&amp;TEXT(12,"0000"))</f>
        <v/>
      </c>
      <c r="B16" s="16"/>
      <c r="C16" s="17"/>
      <c r="D16" s="16"/>
      <c r="E16" s="16"/>
      <c r="F16" s="16"/>
      <c r="G16" s="16"/>
      <c r="H16" s="18"/>
      <c r="I16" s="12" t="str">
        <f t="shared" si="0"/>
        <v/>
      </c>
      <c r="J16" s="16"/>
      <c r="K16" s="12" t="str">
        <f t="shared" si="1"/>
        <v/>
      </c>
      <c r="L16" s="16"/>
      <c r="M16" s="16"/>
      <c r="N16" s="16"/>
      <c r="O16" s="16"/>
      <c r="P16" s="16"/>
      <c r="Q16" s="16"/>
      <c r="R16" s="16"/>
    </row>
    <row r="17" spans="1:18" ht="57.75" customHeight="1" x14ac:dyDescent="0.3">
      <c r="A17" s="12" t="str">
        <f>IF(TRIM(B17)="","","ATH-"&amp;TEXT(13,"0000"))</f>
        <v/>
      </c>
      <c r="B17" s="19"/>
      <c r="C17" s="20"/>
      <c r="D17" s="19"/>
      <c r="E17" s="19"/>
      <c r="F17" s="19"/>
      <c r="G17" s="19"/>
      <c r="H17" s="21"/>
      <c r="I17" s="12" t="str">
        <f t="shared" si="0"/>
        <v/>
      </c>
      <c r="J17" s="19"/>
      <c r="K17" s="12" t="str">
        <f t="shared" si="1"/>
        <v/>
      </c>
      <c r="L17" s="19"/>
      <c r="M17" s="19"/>
      <c r="N17" s="19"/>
      <c r="O17" s="19"/>
      <c r="P17" s="19"/>
      <c r="Q17" s="19"/>
      <c r="R17" s="19"/>
    </row>
    <row r="18" spans="1:18" ht="57.75" customHeight="1" x14ac:dyDescent="0.3">
      <c r="A18" s="12" t="str">
        <f>IF(TRIM(B18)="","","ATH-"&amp;TEXT(14,"0000"))</f>
        <v/>
      </c>
      <c r="B18" s="16"/>
      <c r="C18" s="17"/>
      <c r="D18" s="16"/>
      <c r="E18" s="16"/>
      <c r="F18" s="16"/>
      <c r="G18" s="16"/>
      <c r="H18" s="18"/>
      <c r="I18" s="12" t="str">
        <f t="shared" si="0"/>
        <v/>
      </c>
      <c r="J18" s="16"/>
      <c r="K18" s="12" t="str">
        <f t="shared" si="1"/>
        <v/>
      </c>
      <c r="L18" s="16"/>
      <c r="M18" s="16"/>
      <c r="N18" s="16"/>
      <c r="O18" s="16"/>
      <c r="P18" s="16"/>
      <c r="Q18" s="16"/>
      <c r="R18" s="16"/>
    </row>
    <row r="19" spans="1:18" ht="57.75" customHeight="1" x14ac:dyDescent="0.3">
      <c r="A19" s="12" t="str">
        <f>IF(TRIM(B19)="","","ATH-"&amp;TEXT(15,"0000"))</f>
        <v/>
      </c>
      <c r="B19" s="19"/>
      <c r="C19" s="20"/>
      <c r="D19" s="19"/>
      <c r="E19" s="19"/>
      <c r="F19" s="19"/>
      <c r="G19" s="19"/>
      <c r="H19" s="21"/>
      <c r="I19" s="12" t="str">
        <f t="shared" si="0"/>
        <v/>
      </c>
      <c r="J19" s="19"/>
      <c r="K19" s="12" t="str">
        <f t="shared" si="1"/>
        <v/>
      </c>
      <c r="L19" s="19"/>
      <c r="M19" s="19"/>
      <c r="N19" s="19"/>
      <c r="O19" s="19"/>
      <c r="P19" s="19"/>
      <c r="Q19" s="19"/>
      <c r="R19" s="19"/>
    </row>
    <row r="20" spans="1:18" ht="57.75" customHeight="1" x14ac:dyDescent="0.3">
      <c r="A20" s="12" t="str">
        <f>IF(TRIM(B20)="","","ATH-"&amp;TEXT(16,"0000"))</f>
        <v/>
      </c>
      <c r="B20" s="16"/>
      <c r="C20" s="17"/>
      <c r="D20" s="16"/>
      <c r="E20" s="16"/>
      <c r="F20" s="16"/>
      <c r="G20" s="16"/>
      <c r="H20" s="18"/>
      <c r="I20" s="12" t="str">
        <f t="shared" si="0"/>
        <v/>
      </c>
      <c r="J20" s="16"/>
      <c r="K20" s="12" t="str">
        <f t="shared" si="1"/>
        <v/>
      </c>
      <c r="L20" s="16"/>
      <c r="M20" s="16"/>
      <c r="N20" s="16"/>
      <c r="O20" s="16"/>
      <c r="P20" s="16"/>
      <c r="Q20" s="16"/>
      <c r="R20" s="16"/>
    </row>
    <row r="21" spans="1:18" ht="57.75" customHeight="1" x14ac:dyDescent="0.3">
      <c r="A21" s="12" t="str">
        <f>IF(TRIM(B21)="","","ATH-"&amp;TEXT(17,"0000"))</f>
        <v/>
      </c>
      <c r="B21" s="19"/>
      <c r="C21" s="20"/>
      <c r="D21" s="19"/>
      <c r="E21" s="19"/>
      <c r="F21" s="19"/>
      <c r="G21" s="19"/>
      <c r="H21" s="21"/>
      <c r="I21" s="12" t="str">
        <f t="shared" si="0"/>
        <v/>
      </c>
      <c r="J21" s="19"/>
      <c r="K21" s="12" t="str">
        <f t="shared" si="1"/>
        <v/>
      </c>
      <c r="L21" s="19"/>
      <c r="M21" s="19"/>
      <c r="N21" s="19"/>
      <c r="O21" s="19"/>
      <c r="P21" s="19"/>
      <c r="Q21" s="19"/>
      <c r="R21" s="19"/>
    </row>
    <row r="22" spans="1:18" ht="57.75" customHeight="1" x14ac:dyDescent="0.3">
      <c r="A22" s="12" t="str">
        <f>IF(TRIM(B22)="","","ATH-"&amp;TEXT(18,"0000"))</f>
        <v/>
      </c>
      <c r="B22" s="16"/>
      <c r="C22" s="17"/>
      <c r="D22" s="16"/>
      <c r="E22" s="16"/>
      <c r="F22" s="16"/>
      <c r="G22" s="16"/>
      <c r="H22" s="18"/>
      <c r="I22" s="12" t="str">
        <f t="shared" si="0"/>
        <v/>
      </c>
      <c r="J22" s="16"/>
      <c r="K22" s="12" t="str">
        <f t="shared" si="1"/>
        <v/>
      </c>
      <c r="L22" s="16"/>
      <c r="M22" s="16"/>
      <c r="N22" s="16"/>
      <c r="O22" s="16"/>
      <c r="P22" s="16"/>
      <c r="Q22" s="16"/>
      <c r="R22" s="16"/>
    </row>
    <row r="23" spans="1:18" ht="57.75" customHeight="1" x14ac:dyDescent="0.3">
      <c r="A23" s="12" t="str">
        <f>IF(TRIM(B23)="","","ATH-"&amp;TEXT(19,"0000"))</f>
        <v/>
      </c>
      <c r="B23" s="19"/>
      <c r="C23" s="20"/>
      <c r="D23" s="19"/>
      <c r="E23" s="19"/>
      <c r="F23" s="19"/>
      <c r="G23" s="19"/>
      <c r="H23" s="21"/>
      <c r="I23" s="12" t="str">
        <f t="shared" si="0"/>
        <v/>
      </c>
      <c r="J23" s="19"/>
      <c r="K23" s="12" t="str">
        <f t="shared" si="1"/>
        <v/>
      </c>
      <c r="L23" s="19"/>
      <c r="M23" s="19"/>
      <c r="N23" s="19"/>
      <c r="O23" s="19"/>
      <c r="P23" s="19"/>
      <c r="Q23" s="19"/>
      <c r="R23" s="19"/>
    </row>
    <row r="24" spans="1:18" ht="57.75" customHeight="1" x14ac:dyDescent="0.3">
      <c r="A24" s="12" t="str">
        <f>IF(TRIM(B24)="","","ATH-"&amp;TEXT(20,"0000"))</f>
        <v/>
      </c>
      <c r="B24" s="16"/>
      <c r="C24" s="17"/>
      <c r="D24" s="16"/>
      <c r="E24" s="16"/>
      <c r="F24" s="16"/>
      <c r="G24" s="16"/>
      <c r="H24" s="18"/>
      <c r="I24" s="12" t="str">
        <f t="shared" si="0"/>
        <v/>
      </c>
      <c r="J24" s="16"/>
      <c r="K24" s="12" t="str">
        <f t="shared" si="1"/>
        <v/>
      </c>
      <c r="L24" s="16"/>
      <c r="M24" s="16"/>
      <c r="N24" s="16"/>
      <c r="O24" s="16"/>
      <c r="P24" s="16"/>
      <c r="Q24" s="16"/>
      <c r="R24" s="16"/>
    </row>
    <row r="25" spans="1:18" ht="57.75" customHeight="1" x14ac:dyDescent="0.3">
      <c r="A25" s="12" t="str">
        <f>IF(TRIM(B25)="","","ATH-"&amp;TEXT(21,"0000"))</f>
        <v/>
      </c>
      <c r="B25" s="19"/>
      <c r="C25" s="20"/>
      <c r="D25" s="19"/>
      <c r="E25" s="19"/>
      <c r="F25" s="19"/>
      <c r="G25" s="19"/>
      <c r="H25" s="21"/>
      <c r="I25" s="12" t="str">
        <f t="shared" si="0"/>
        <v/>
      </c>
      <c r="J25" s="19"/>
      <c r="K25" s="12" t="str">
        <f t="shared" si="1"/>
        <v/>
      </c>
      <c r="L25" s="19"/>
      <c r="M25" s="19"/>
      <c r="N25" s="19"/>
      <c r="O25" s="19"/>
      <c r="P25" s="19"/>
      <c r="Q25" s="19"/>
      <c r="R25" s="19"/>
    </row>
    <row r="26" spans="1:18" ht="57.75" customHeight="1" x14ac:dyDescent="0.3">
      <c r="A26" s="12" t="str">
        <f>IF(TRIM(B26)="","","ATH-"&amp;TEXT(22,"0000"))</f>
        <v/>
      </c>
      <c r="B26" s="16"/>
      <c r="C26" s="17"/>
      <c r="D26" s="16"/>
      <c r="E26" s="16"/>
      <c r="F26" s="16"/>
      <c r="G26" s="16"/>
      <c r="H26" s="18"/>
      <c r="I26" s="12" t="str">
        <f t="shared" si="0"/>
        <v/>
      </c>
      <c r="J26" s="16"/>
      <c r="K26" s="12" t="str">
        <f t="shared" si="1"/>
        <v/>
      </c>
      <c r="L26" s="16"/>
      <c r="M26" s="16"/>
      <c r="N26" s="16"/>
      <c r="O26" s="16"/>
      <c r="P26" s="16"/>
      <c r="Q26" s="16"/>
      <c r="R26" s="16"/>
    </row>
    <row r="27" spans="1:18" ht="57.75" customHeight="1" x14ac:dyDescent="0.3">
      <c r="A27" s="12" t="str">
        <f>IF(TRIM(B27)="","","ATH-"&amp;TEXT(23,"0000"))</f>
        <v/>
      </c>
      <c r="B27" s="19"/>
      <c r="C27" s="20"/>
      <c r="D27" s="19"/>
      <c r="E27" s="19"/>
      <c r="F27" s="19"/>
      <c r="G27" s="19"/>
      <c r="H27" s="21"/>
      <c r="I27" s="12" t="str">
        <f t="shared" si="0"/>
        <v/>
      </c>
      <c r="J27" s="19"/>
      <c r="K27" s="12" t="str">
        <f t="shared" si="1"/>
        <v/>
      </c>
      <c r="L27" s="19"/>
      <c r="M27" s="19"/>
      <c r="N27" s="19"/>
      <c r="O27" s="19"/>
      <c r="P27" s="19"/>
      <c r="Q27" s="19"/>
      <c r="R27" s="19"/>
    </row>
    <row r="28" spans="1:18" ht="57.75" customHeight="1" x14ac:dyDescent="0.3">
      <c r="A28" s="12" t="str">
        <f>IF(TRIM(B28)="","","ATH-"&amp;TEXT(24,"0000"))</f>
        <v/>
      </c>
      <c r="B28" s="16"/>
      <c r="C28" s="17"/>
      <c r="D28" s="16"/>
      <c r="E28" s="16"/>
      <c r="F28" s="16"/>
      <c r="G28" s="16"/>
      <c r="H28" s="18"/>
      <c r="I28" s="12" t="str">
        <f t="shared" si="0"/>
        <v/>
      </c>
      <c r="J28" s="16"/>
      <c r="K28" s="12" t="str">
        <f t="shared" si="1"/>
        <v/>
      </c>
      <c r="L28" s="16"/>
      <c r="M28" s="16"/>
      <c r="N28" s="16"/>
      <c r="O28" s="16"/>
      <c r="P28" s="16"/>
      <c r="Q28" s="16"/>
      <c r="R28" s="16"/>
    </row>
    <row r="29" spans="1:18" ht="57.75" customHeight="1" x14ac:dyDescent="0.3">
      <c r="A29" s="12" t="str">
        <f>IF(TRIM(B29)="","","ATH-"&amp;TEXT(25,"0000"))</f>
        <v/>
      </c>
      <c r="B29" s="19"/>
      <c r="C29" s="20"/>
      <c r="D29" s="19"/>
      <c r="E29" s="19"/>
      <c r="F29" s="19"/>
      <c r="G29" s="19"/>
      <c r="H29" s="21"/>
      <c r="I29" s="12" t="str">
        <f t="shared" si="0"/>
        <v/>
      </c>
      <c r="J29" s="19"/>
      <c r="K29" s="12" t="str">
        <f t="shared" si="1"/>
        <v/>
      </c>
      <c r="L29" s="19"/>
      <c r="M29" s="19"/>
      <c r="N29" s="19"/>
      <c r="O29" s="19"/>
      <c r="P29" s="19"/>
      <c r="Q29" s="19"/>
      <c r="R29" s="19"/>
    </row>
    <row r="30" spans="1:18" ht="57.75" customHeight="1" x14ac:dyDescent="0.3">
      <c r="A30" s="12" t="str">
        <f>IF(TRIM(B30)="","","ATH-"&amp;TEXT(26,"0000"))</f>
        <v/>
      </c>
      <c r="B30" s="16"/>
      <c r="C30" s="17"/>
      <c r="D30" s="16"/>
      <c r="E30" s="16"/>
      <c r="F30" s="16"/>
      <c r="G30" s="16"/>
      <c r="H30" s="18"/>
      <c r="I30" s="12" t="str">
        <f t="shared" si="0"/>
        <v/>
      </c>
      <c r="J30" s="16"/>
      <c r="K30" s="12" t="str">
        <f t="shared" si="1"/>
        <v/>
      </c>
      <c r="L30" s="16"/>
      <c r="M30" s="16"/>
      <c r="N30" s="16"/>
      <c r="O30" s="16"/>
      <c r="P30" s="16"/>
      <c r="Q30" s="16"/>
      <c r="R30" s="16"/>
    </row>
    <row r="31" spans="1:18" ht="57.75" customHeight="1" x14ac:dyDescent="0.3">
      <c r="A31" s="12" t="str">
        <f>IF(TRIM(B31)="","","ATH-"&amp;TEXT(27,"0000"))</f>
        <v/>
      </c>
      <c r="B31" s="19"/>
      <c r="C31" s="20"/>
      <c r="D31" s="19"/>
      <c r="E31" s="19"/>
      <c r="F31" s="19"/>
      <c r="G31" s="19"/>
      <c r="H31" s="21"/>
      <c r="I31" s="12" t="str">
        <f t="shared" si="0"/>
        <v/>
      </c>
      <c r="J31" s="19"/>
      <c r="K31" s="12" t="str">
        <f t="shared" si="1"/>
        <v/>
      </c>
      <c r="L31" s="19"/>
      <c r="M31" s="19"/>
      <c r="N31" s="19"/>
      <c r="O31" s="19"/>
      <c r="P31" s="19"/>
      <c r="Q31" s="19"/>
      <c r="R31" s="19"/>
    </row>
    <row r="32" spans="1:18" ht="57.75" customHeight="1" x14ac:dyDescent="0.3">
      <c r="A32" s="12" t="str">
        <f>IF(TRIM(B32)="","","ATH-"&amp;TEXT(28,"0000"))</f>
        <v/>
      </c>
      <c r="B32" s="16"/>
      <c r="C32" s="17"/>
      <c r="D32" s="16"/>
      <c r="E32" s="16"/>
      <c r="F32" s="16"/>
      <c r="G32" s="16"/>
      <c r="H32" s="18"/>
      <c r="I32" s="12" t="str">
        <f t="shared" si="0"/>
        <v/>
      </c>
      <c r="J32" s="16"/>
      <c r="K32" s="12" t="str">
        <f t="shared" si="1"/>
        <v/>
      </c>
      <c r="L32" s="16"/>
      <c r="M32" s="16"/>
      <c r="N32" s="16"/>
      <c r="O32" s="16"/>
      <c r="P32" s="16"/>
      <c r="Q32" s="16"/>
      <c r="R32" s="16"/>
    </row>
    <row r="33" spans="1:18" ht="57.75" customHeight="1" x14ac:dyDescent="0.3">
      <c r="A33" s="12" t="str">
        <f>IF(TRIM(B33)="","","ATH-"&amp;TEXT(29,"0000"))</f>
        <v/>
      </c>
      <c r="B33" s="19"/>
      <c r="C33" s="20"/>
      <c r="D33" s="19"/>
      <c r="E33" s="19"/>
      <c r="F33" s="19"/>
      <c r="G33" s="19"/>
      <c r="H33" s="21"/>
      <c r="I33" s="12" t="str">
        <f t="shared" si="0"/>
        <v/>
      </c>
      <c r="J33" s="19"/>
      <c r="K33" s="12" t="str">
        <f t="shared" si="1"/>
        <v/>
      </c>
      <c r="L33" s="19"/>
      <c r="M33" s="19"/>
      <c r="N33" s="19"/>
      <c r="O33" s="19"/>
      <c r="P33" s="19"/>
      <c r="Q33" s="19"/>
      <c r="R33" s="19"/>
    </row>
    <row r="34" spans="1:18" ht="57.75" customHeight="1" x14ac:dyDescent="0.3">
      <c r="A34" s="12" t="str">
        <f>IF(TRIM(B34)="","","ATH-"&amp;TEXT(30,"0000"))</f>
        <v/>
      </c>
      <c r="B34" s="16"/>
      <c r="C34" s="17"/>
      <c r="D34" s="16"/>
      <c r="E34" s="16"/>
      <c r="F34" s="16"/>
      <c r="G34" s="16"/>
      <c r="H34" s="18"/>
      <c r="I34" s="12" t="str">
        <f t="shared" si="0"/>
        <v/>
      </c>
      <c r="J34" s="16"/>
      <c r="K34" s="12" t="str">
        <f t="shared" si="1"/>
        <v/>
      </c>
      <c r="L34" s="16"/>
      <c r="M34" s="16"/>
      <c r="N34" s="16"/>
      <c r="O34" s="16"/>
      <c r="P34" s="16"/>
      <c r="Q34" s="16"/>
      <c r="R34" s="16"/>
    </row>
    <row r="35" spans="1:18" ht="57.75" customHeight="1" x14ac:dyDescent="0.3">
      <c r="A35" s="12" t="str">
        <f>IF(TRIM(B35)="","","ATH-"&amp;TEXT(31,"0000"))</f>
        <v/>
      </c>
      <c r="B35" s="19"/>
      <c r="C35" s="20"/>
      <c r="D35" s="19"/>
      <c r="E35" s="19"/>
      <c r="F35" s="19"/>
      <c r="G35" s="19"/>
      <c r="H35" s="21"/>
      <c r="I35" s="12" t="str">
        <f t="shared" si="0"/>
        <v/>
      </c>
      <c r="J35" s="19"/>
      <c r="K35" s="12" t="str">
        <f t="shared" si="1"/>
        <v/>
      </c>
      <c r="L35" s="19"/>
      <c r="M35" s="19"/>
      <c r="N35" s="19"/>
      <c r="O35" s="19"/>
      <c r="P35" s="19"/>
      <c r="Q35" s="19"/>
      <c r="R35" s="19"/>
    </row>
    <row r="36" spans="1:18" ht="57.75" customHeight="1" x14ac:dyDescent="0.3">
      <c r="A36" s="12" t="str">
        <f>IF(TRIM(B36)="","","ATH-"&amp;TEXT(32,"0000"))</f>
        <v/>
      </c>
      <c r="B36" s="16"/>
      <c r="C36" s="17"/>
      <c r="D36" s="16"/>
      <c r="E36" s="16"/>
      <c r="F36" s="16"/>
      <c r="G36" s="16"/>
      <c r="H36" s="18"/>
      <c r="I36" s="12" t="str">
        <f t="shared" si="0"/>
        <v/>
      </c>
      <c r="J36" s="16"/>
      <c r="K36" s="12" t="str">
        <f t="shared" si="1"/>
        <v/>
      </c>
      <c r="L36" s="16"/>
      <c r="M36" s="16"/>
      <c r="N36" s="16"/>
      <c r="O36" s="16"/>
      <c r="P36" s="16"/>
      <c r="Q36" s="16"/>
      <c r="R36" s="16"/>
    </row>
    <row r="37" spans="1:18" ht="57.75" customHeight="1" x14ac:dyDescent="0.3">
      <c r="A37" s="12" t="str">
        <f>IF(TRIM(B37)="","","ATH-"&amp;TEXT(33,"0000"))</f>
        <v/>
      </c>
      <c r="B37" s="19"/>
      <c r="C37" s="20"/>
      <c r="D37" s="19"/>
      <c r="E37" s="19"/>
      <c r="F37" s="19"/>
      <c r="G37" s="19"/>
      <c r="H37" s="21"/>
      <c r="I37" s="12" t="str">
        <f t="shared" si="0"/>
        <v/>
      </c>
      <c r="J37" s="19"/>
      <c r="K37" s="12" t="str">
        <f t="shared" si="1"/>
        <v/>
      </c>
      <c r="L37" s="19"/>
      <c r="M37" s="19"/>
      <c r="N37" s="19"/>
      <c r="O37" s="19"/>
      <c r="P37" s="19"/>
      <c r="Q37" s="19"/>
      <c r="R37" s="19"/>
    </row>
    <row r="38" spans="1:18" ht="57.75" customHeight="1" x14ac:dyDescent="0.3">
      <c r="A38" s="12" t="str">
        <f>IF(TRIM(B38)="","","ATH-"&amp;TEXT(34,"0000"))</f>
        <v/>
      </c>
      <c r="B38" s="16"/>
      <c r="C38" s="17"/>
      <c r="D38" s="16"/>
      <c r="E38" s="16"/>
      <c r="F38" s="16"/>
      <c r="G38" s="16"/>
      <c r="H38" s="18"/>
      <c r="I38" s="12" t="str">
        <f t="shared" si="0"/>
        <v/>
      </c>
      <c r="J38" s="16"/>
      <c r="K38" s="12" t="str">
        <f t="shared" si="1"/>
        <v/>
      </c>
      <c r="L38" s="16"/>
      <c r="M38" s="16"/>
      <c r="N38" s="16"/>
      <c r="O38" s="16"/>
      <c r="P38" s="16"/>
      <c r="Q38" s="16"/>
      <c r="R38" s="16"/>
    </row>
    <row r="39" spans="1:18" ht="57.75" customHeight="1" x14ac:dyDescent="0.3">
      <c r="A39" s="12" t="str">
        <f>IF(TRIM(B39)="","","ATH-"&amp;TEXT(35,"0000"))</f>
        <v/>
      </c>
      <c r="B39" s="19"/>
      <c r="C39" s="20"/>
      <c r="D39" s="19"/>
      <c r="E39" s="19"/>
      <c r="F39" s="19"/>
      <c r="G39" s="19"/>
      <c r="H39" s="21"/>
      <c r="I39" s="12" t="str">
        <f t="shared" si="0"/>
        <v/>
      </c>
      <c r="J39" s="19"/>
      <c r="K39" s="12" t="str">
        <f t="shared" si="1"/>
        <v/>
      </c>
      <c r="L39" s="19"/>
      <c r="M39" s="19"/>
      <c r="N39" s="19"/>
      <c r="O39" s="19"/>
      <c r="P39" s="19"/>
      <c r="Q39" s="19"/>
      <c r="R39" s="19"/>
    </row>
    <row r="40" spans="1:18" ht="57.75" customHeight="1" x14ac:dyDescent="0.3">
      <c r="A40" s="12" t="str">
        <f>IF(TRIM(B40)="","","ATH-"&amp;TEXT(36,"0000"))</f>
        <v/>
      </c>
      <c r="B40" s="16"/>
      <c r="C40" s="17"/>
      <c r="D40" s="16"/>
      <c r="E40" s="16"/>
      <c r="F40" s="16"/>
      <c r="G40" s="16"/>
      <c r="H40" s="18"/>
      <c r="I40" s="12" t="str">
        <f t="shared" si="0"/>
        <v/>
      </c>
      <c r="J40" s="16"/>
      <c r="K40" s="12" t="str">
        <f t="shared" si="1"/>
        <v/>
      </c>
      <c r="L40" s="16"/>
      <c r="M40" s="16"/>
      <c r="N40" s="16"/>
      <c r="O40" s="16"/>
      <c r="P40" s="16"/>
      <c r="Q40" s="16"/>
      <c r="R40" s="16"/>
    </row>
    <row r="41" spans="1:18" ht="57.75" customHeight="1" x14ac:dyDescent="0.3">
      <c r="A41" s="12" t="str">
        <f>IF(TRIM(B41)="","","ATH-"&amp;TEXT(37,"0000"))</f>
        <v/>
      </c>
      <c r="B41" s="19"/>
      <c r="C41" s="20"/>
      <c r="D41" s="19"/>
      <c r="E41" s="19"/>
      <c r="F41" s="19"/>
      <c r="G41" s="19"/>
      <c r="H41" s="21"/>
      <c r="I41" s="12" t="str">
        <f t="shared" si="0"/>
        <v/>
      </c>
      <c r="J41" s="19"/>
      <c r="K41" s="12" t="str">
        <f t="shared" si="1"/>
        <v/>
      </c>
      <c r="L41" s="19"/>
      <c r="M41" s="19"/>
      <c r="N41" s="19"/>
      <c r="O41" s="19"/>
      <c r="P41" s="19"/>
      <c r="Q41" s="19"/>
      <c r="R41" s="19"/>
    </row>
    <row r="42" spans="1:18" ht="57.75" customHeight="1" x14ac:dyDescent="0.3">
      <c r="A42" s="12" t="str">
        <f>IF(TRIM(B42)="","","ATH-"&amp;TEXT(38,"0000"))</f>
        <v/>
      </c>
      <c r="B42" s="16"/>
      <c r="C42" s="17"/>
      <c r="D42" s="16"/>
      <c r="E42" s="16"/>
      <c r="F42" s="16"/>
      <c r="G42" s="16"/>
      <c r="H42" s="18"/>
      <c r="I42" s="12" t="str">
        <f t="shared" si="0"/>
        <v/>
      </c>
      <c r="J42" s="16"/>
      <c r="K42" s="12" t="str">
        <f t="shared" si="1"/>
        <v/>
      </c>
      <c r="L42" s="16"/>
      <c r="M42" s="16"/>
      <c r="N42" s="16"/>
      <c r="O42" s="16"/>
      <c r="P42" s="16"/>
      <c r="Q42" s="16"/>
      <c r="R42" s="16"/>
    </row>
    <row r="43" spans="1:18" ht="57.75" customHeight="1" x14ac:dyDescent="0.3">
      <c r="A43" s="12" t="str">
        <f>IF(TRIM(B43)="","","ATH-"&amp;TEXT(39,"0000"))</f>
        <v/>
      </c>
      <c r="B43" s="19"/>
      <c r="C43" s="20"/>
      <c r="D43" s="19"/>
      <c r="E43" s="19"/>
      <c r="F43" s="19"/>
      <c r="G43" s="19"/>
      <c r="H43" s="21"/>
      <c r="I43" s="12" t="str">
        <f t="shared" si="0"/>
        <v/>
      </c>
      <c r="J43" s="19"/>
      <c r="K43" s="12" t="str">
        <f t="shared" si="1"/>
        <v/>
      </c>
      <c r="L43" s="19"/>
      <c r="M43" s="19"/>
      <c r="N43" s="19"/>
      <c r="O43" s="19"/>
      <c r="P43" s="19"/>
      <c r="Q43" s="19"/>
      <c r="R43" s="19"/>
    </row>
    <row r="44" spans="1:18" ht="57.75" customHeight="1" x14ac:dyDescent="0.3">
      <c r="A44" s="12" t="str">
        <f>IF(TRIM(B44)="","","ATH-"&amp;TEXT(40,"0000"))</f>
        <v/>
      </c>
      <c r="B44" s="16"/>
      <c r="C44" s="17"/>
      <c r="D44" s="16"/>
      <c r="E44" s="16"/>
      <c r="F44" s="16"/>
      <c r="G44" s="16"/>
      <c r="H44" s="18"/>
      <c r="I44" s="12" t="str">
        <f t="shared" si="0"/>
        <v/>
      </c>
      <c r="J44" s="16"/>
      <c r="K44" s="12" t="str">
        <f t="shared" si="1"/>
        <v/>
      </c>
      <c r="L44" s="16"/>
      <c r="M44" s="16"/>
      <c r="N44" s="16"/>
      <c r="O44" s="16"/>
      <c r="P44" s="16"/>
      <c r="Q44" s="16"/>
      <c r="R44" s="16"/>
    </row>
    <row r="45" spans="1:18" ht="57.75" customHeight="1" x14ac:dyDescent="0.3">
      <c r="A45" s="12" t="str">
        <f>IF(TRIM(B45)="","","ATH-"&amp;TEXT(41,"0000"))</f>
        <v/>
      </c>
      <c r="B45" s="19"/>
      <c r="C45" s="20"/>
      <c r="D45" s="19"/>
      <c r="E45" s="19"/>
      <c r="F45" s="19"/>
      <c r="G45" s="19"/>
      <c r="H45" s="21"/>
      <c r="I45" s="12" t="str">
        <f t="shared" si="0"/>
        <v/>
      </c>
      <c r="J45" s="19"/>
      <c r="K45" s="12" t="str">
        <f t="shared" si="1"/>
        <v/>
      </c>
      <c r="L45" s="19"/>
      <c r="M45" s="19"/>
      <c r="N45" s="19"/>
      <c r="O45" s="19"/>
      <c r="P45" s="19"/>
      <c r="Q45" s="19"/>
      <c r="R45" s="19"/>
    </row>
    <row r="46" spans="1:18" ht="57.75" customHeight="1" x14ac:dyDescent="0.3">
      <c r="A46" s="12" t="str">
        <f>IF(TRIM(B46)="","","ATH-"&amp;TEXT(42,"0000"))</f>
        <v/>
      </c>
      <c r="B46" s="16"/>
      <c r="C46" s="17"/>
      <c r="D46" s="16"/>
      <c r="E46" s="16"/>
      <c r="F46" s="16"/>
      <c r="G46" s="16"/>
      <c r="H46" s="18"/>
      <c r="I46" s="12" t="str">
        <f t="shared" si="0"/>
        <v/>
      </c>
      <c r="J46" s="16"/>
      <c r="K46" s="12" t="str">
        <f t="shared" si="1"/>
        <v/>
      </c>
      <c r="L46" s="16"/>
      <c r="M46" s="16"/>
      <c r="N46" s="16"/>
      <c r="O46" s="16"/>
      <c r="P46" s="16"/>
      <c r="Q46" s="16"/>
      <c r="R46" s="16"/>
    </row>
    <row r="47" spans="1:18" ht="57.75" customHeight="1" x14ac:dyDescent="0.3">
      <c r="A47" s="12" t="str">
        <f>IF(TRIM(B47)="","","ATH-"&amp;TEXT(43,"0000"))</f>
        <v/>
      </c>
      <c r="B47" s="19"/>
      <c r="C47" s="20"/>
      <c r="D47" s="19"/>
      <c r="E47" s="19"/>
      <c r="F47" s="19"/>
      <c r="G47" s="19"/>
      <c r="H47" s="21"/>
      <c r="I47" s="12" t="str">
        <f t="shared" si="0"/>
        <v/>
      </c>
      <c r="J47" s="19"/>
      <c r="K47" s="12" t="str">
        <f t="shared" si="1"/>
        <v/>
      </c>
      <c r="L47" s="19"/>
      <c r="M47" s="19"/>
      <c r="N47" s="19"/>
      <c r="O47" s="19"/>
      <c r="P47" s="19"/>
      <c r="Q47" s="19"/>
      <c r="R47" s="19"/>
    </row>
    <row r="48" spans="1:18" ht="57.75" customHeight="1" x14ac:dyDescent="0.3">
      <c r="A48" s="12" t="str">
        <f>IF(TRIM(B48)="","","ATH-"&amp;TEXT(44,"0000"))</f>
        <v/>
      </c>
      <c r="B48" s="16"/>
      <c r="C48" s="17"/>
      <c r="D48" s="16"/>
      <c r="E48" s="16"/>
      <c r="F48" s="16"/>
      <c r="G48" s="16"/>
      <c r="H48" s="18"/>
      <c r="I48" s="12" t="str">
        <f t="shared" si="0"/>
        <v/>
      </c>
      <c r="J48" s="16"/>
      <c r="K48" s="12" t="str">
        <f t="shared" si="1"/>
        <v/>
      </c>
      <c r="L48" s="16"/>
      <c r="M48" s="16"/>
      <c r="N48" s="16"/>
      <c r="O48" s="16"/>
      <c r="P48" s="16"/>
      <c r="Q48" s="16"/>
      <c r="R48" s="16"/>
    </row>
    <row r="49" spans="1:18" ht="57.75" customHeight="1" x14ac:dyDescent="0.3">
      <c r="A49" s="12" t="str">
        <f>IF(TRIM(B49)="","","ATH-"&amp;TEXT(45,"0000"))</f>
        <v/>
      </c>
      <c r="B49" s="19"/>
      <c r="C49" s="20"/>
      <c r="D49" s="19"/>
      <c r="E49" s="19"/>
      <c r="F49" s="19"/>
      <c r="G49" s="19"/>
      <c r="H49" s="21"/>
      <c r="I49" s="12" t="str">
        <f t="shared" si="0"/>
        <v/>
      </c>
      <c r="J49" s="19"/>
      <c r="K49" s="12" t="str">
        <f t="shared" si="1"/>
        <v/>
      </c>
      <c r="L49" s="19"/>
      <c r="M49" s="19"/>
      <c r="N49" s="19"/>
      <c r="O49" s="19"/>
      <c r="P49" s="19"/>
      <c r="Q49" s="19"/>
      <c r="R49" s="19"/>
    </row>
    <row r="50" spans="1:18" ht="57.75" customHeight="1" x14ac:dyDescent="0.3">
      <c r="A50" s="12" t="str">
        <f>IF(TRIM(B50)="","","ATH-"&amp;TEXT(46,"0000"))</f>
        <v/>
      </c>
      <c r="B50" s="16"/>
      <c r="C50" s="17"/>
      <c r="D50" s="16"/>
      <c r="E50" s="16"/>
      <c r="F50" s="16"/>
      <c r="G50" s="16"/>
      <c r="H50" s="18"/>
      <c r="I50" s="12" t="str">
        <f t="shared" si="0"/>
        <v/>
      </c>
      <c r="J50" s="16"/>
      <c r="K50" s="12" t="str">
        <f t="shared" si="1"/>
        <v/>
      </c>
      <c r="L50" s="16"/>
      <c r="M50" s="16"/>
      <c r="N50" s="16"/>
      <c r="O50" s="16"/>
      <c r="P50" s="16"/>
      <c r="Q50" s="16"/>
      <c r="R50" s="16"/>
    </row>
    <row r="51" spans="1:18" ht="57.75" customHeight="1" x14ac:dyDescent="0.3">
      <c r="A51" s="12" t="str">
        <f>IF(TRIM(B51)="","","ATH-"&amp;TEXT(47,"0000"))</f>
        <v/>
      </c>
      <c r="B51" s="19"/>
      <c r="C51" s="20"/>
      <c r="D51" s="19"/>
      <c r="E51" s="19"/>
      <c r="F51" s="19"/>
      <c r="G51" s="19"/>
      <c r="H51" s="21"/>
      <c r="I51" s="12" t="str">
        <f t="shared" si="0"/>
        <v/>
      </c>
      <c r="J51" s="19"/>
      <c r="K51" s="12" t="str">
        <f t="shared" si="1"/>
        <v/>
      </c>
      <c r="L51" s="19"/>
      <c r="M51" s="19"/>
      <c r="N51" s="19"/>
      <c r="O51" s="19"/>
      <c r="P51" s="19"/>
      <c r="Q51" s="19"/>
      <c r="R51" s="19"/>
    </row>
    <row r="52" spans="1:18" ht="57.75" customHeight="1" x14ac:dyDescent="0.3">
      <c r="A52" s="12" t="str">
        <f>IF(TRIM(B52)="","","ATH-"&amp;TEXT(48,"0000"))</f>
        <v/>
      </c>
      <c r="B52" s="16"/>
      <c r="C52" s="17"/>
      <c r="D52" s="16"/>
      <c r="E52" s="16"/>
      <c r="F52" s="16"/>
      <c r="G52" s="16"/>
      <c r="H52" s="18"/>
      <c r="I52" s="12" t="str">
        <f t="shared" si="0"/>
        <v/>
      </c>
      <c r="J52" s="16"/>
      <c r="K52" s="12" t="str">
        <f t="shared" si="1"/>
        <v/>
      </c>
      <c r="L52" s="16"/>
      <c r="M52" s="16"/>
      <c r="N52" s="16"/>
      <c r="O52" s="16"/>
      <c r="P52" s="16"/>
      <c r="Q52" s="16"/>
      <c r="R52" s="16"/>
    </row>
    <row r="53" spans="1:18" ht="57.75" customHeight="1" x14ac:dyDescent="0.3">
      <c r="A53" s="12" t="str">
        <f>IF(TRIM(B53)="","","ATH-"&amp;TEXT(49,"0000"))</f>
        <v/>
      </c>
      <c r="B53" s="19"/>
      <c r="C53" s="20"/>
      <c r="D53" s="19"/>
      <c r="E53" s="19"/>
      <c r="F53" s="19"/>
      <c r="G53" s="19"/>
      <c r="H53" s="21"/>
      <c r="I53" s="12" t="str">
        <f t="shared" si="0"/>
        <v/>
      </c>
      <c r="J53" s="19"/>
      <c r="K53" s="12" t="str">
        <f t="shared" si="1"/>
        <v/>
      </c>
      <c r="L53" s="19"/>
      <c r="M53" s="19"/>
      <c r="N53" s="19"/>
      <c r="O53" s="19"/>
      <c r="P53" s="19"/>
      <c r="Q53" s="19"/>
      <c r="R53" s="19"/>
    </row>
    <row r="54" spans="1:18" ht="57.75" customHeight="1" x14ac:dyDescent="0.3">
      <c r="A54" s="12" t="str">
        <f>IF(TRIM(B54)="","","ATH-"&amp;TEXT(50,"0000"))</f>
        <v/>
      </c>
      <c r="B54" s="16"/>
      <c r="C54" s="17"/>
      <c r="D54" s="16"/>
      <c r="E54" s="16"/>
      <c r="F54" s="16"/>
      <c r="G54" s="16"/>
      <c r="H54" s="18"/>
      <c r="I54" s="12" t="str">
        <f t="shared" si="0"/>
        <v/>
      </c>
      <c r="J54" s="16"/>
      <c r="K54" s="12" t="str">
        <f t="shared" si="1"/>
        <v/>
      </c>
      <c r="L54" s="16"/>
      <c r="M54" s="16"/>
      <c r="N54" s="16"/>
      <c r="O54" s="16"/>
      <c r="P54" s="16"/>
      <c r="Q54" s="16"/>
      <c r="R54" s="16"/>
    </row>
    <row r="55" spans="1:18" ht="57.75" customHeight="1" x14ac:dyDescent="0.3">
      <c r="A55" s="12" t="str">
        <f>IF(TRIM(B55)="","","ATH-"&amp;TEXT(51,"0000"))</f>
        <v/>
      </c>
      <c r="B55" s="19"/>
      <c r="C55" s="20"/>
      <c r="D55" s="19"/>
      <c r="E55" s="19"/>
      <c r="F55" s="19"/>
      <c r="G55" s="19"/>
      <c r="H55" s="21"/>
      <c r="I55" s="12" t="str">
        <f t="shared" si="0"/>
        <v/>
      </c>
      <c r="J55" s="19"/>
      <c r="K55" s="12" t="str">
        <f t="shared" si="1"/>
        <v/>
      </c>
      <c r="L55" s="19"/>
      <c r="M55" s="19"/>
      <c r="N55" s="19"/>
      <c r="O55" s="19"/>
      <c r="P55" s="19"/>
      <c r="Q55" s="19"/>
      <c r="R55" s="19"/>
    </row>
    <row r="56" spans="1:18" ht="57.75" customHeight="1" x14ac:dyDescent="0.3">
      <c r="A56" s="12" t="str">
        <f>IF(TRIM(B56)="","","ATH-"&amp;TEXT(52,"0000"))</f>
        <v/>
      </c>
      <c r="B56" s="16"/>
      <c r="C56" s="17"/>
      <c r="D56" s="16"/>
      <c r="E56" s="16"/>
      <c r="F56" s="16"/>
      <c r="G56" s="16"/>
      <c r="H56" s="18"/>
      <c r="I56" s="12" t="str">
        <f t="shared" si="0"/>
        <v/>
      </c>
      <c r="J56" s="16"/>
      <c r="K56" s="12" t="str">
        <f t="shared" si="1"/>
        <v/>
      </c>
      <c r="L56" s="16"/>
      <c r="M56" s="16"/>
      <c r="N56" s="16"/>
      <c r="O56" s="16"/>
      <c r="P56" s="16"/>
      <c r="Q56" s="16"/>
      <c r="R56" s="16"/>
    </row>
    <row r="57" spans="1:18" ht="57.75" customHeight="1" x14ac:dyDescent="0.3">
      <c r="A57" s="12" t="str">
        <f>IF(TRIM(B57)="","","ATH-"&amp;TEXT(53,"0000"))</f>
        <v/>
      </c>
      <c r="B57" s="19"/>
      <c r="C57" s="20"/>
      <c r="D57" s="19"/>
      <c r="E57" s="19"/>
      <c r="F57" s="19"/>
      <c r="G57" s="19"/>
      <c r="H57" s="21"/>
      <c r="I57" s="12" t="str">
        <f t="shared" si="0"/>
        <v/>
      </c>
      <c r="J57" s="19"/>
      <c r="K57" s="12" t="str">
        <f t="shared" si="1"/>
        <v/>
      </c>
      <c r="L57" s="19"/>
      <c r="M57" s="19"/>
      <c r="N57" s="19"/>
      <c r="O57" s="19"/>
      <c r="P57" s="19"/>
      <c r="Q57" s="19"/>
      <c r="R57" s="19"/>
    </row>
    <row r="58" spans="1:18" ht="57.75" customHeight="1" x14ac:dyDescent="0.3">
      <c r="A58" s="12" t="str">
        <f>IF(TRIM(B58)="","","ATH-"&amp;TEXT(54,"0000"))</f>
        <v/>
      </c>
      <c r="B58" s="16"/>
      <c r="C58" s="17"/>
      <c r="D58" s="16"/>
      <c r="E58" s="16"/>
      <c r="F58" s="16"/>
      <c r="G58" s="16"/>
      <c r="H58" s="18"/>
      <c r="I58" s="12" t="str">
        <f t="shared" si="0"/>
        <v/>
      </c>
      <c r="J58" s="16"/>
      <c r="K58" s="12" t="str">
        <f t="shared" si="1"/>
        <v/>
      </c>
      <c r="L58" s="16"/>
      <c r="M58" s="16"/>
      <c r="N58" s="16"/>
      <c r="O58" s="16"/>
      <c r="P58" s="16"/>
      <c r="Q58" s="16"/>
      <c r="R58" s="16"/>
    </row>
    <row r="59" spans="1:18" ht="57.75" customHeight="1" x14ac:dyDescent="0.3">
      <c r="A59" s="12" t="str">
        <f>IF(TRIM(B59)="","","ATH-"&amp;TEXT(55,"0000"))</f>
        <v/>
      </c>
      <c r="B59" s="19"/>
      <c r="C59" s="20"/>
      <c r="D59" s="19"/>
      <c r="E59" s="19"/>
      <c r="F59" s="19"/>
      <c r="G59" s="19"/>
      <c r="H59" s="21"/>
      <c r="I59" s="12" t="str">
        <f t="shared" si="0"/>
        <v/>
      </c>
      <c r="J59" s="19"/>
      <c r="K59" s="12" t="str">
        <f t="shared" si="1"/>
        <v/>
      </c>
      <c r="L59" s="19"/>
      <c r="M59" s="19"/>
      <c r="N59" s="19"/>
      <c r="O59" s="19"/>
      <c r="P59" s="19"/>
      <c r="Q59" s="19"/>
      <c r="R59" s="19"/>
    </row>
    <row r="60" spans="1:18" ht="57.75" customHeight="1" x14ac:dyDescent="0.3">
      <c r="A60" s="12" t="str">
        <f>IF(TRIM(B60)="","","ATH-"&amp;TEXT(56,"0000"))</f>
        <v/>
      </c>
      <c r="B60" s="16"/>
      <c r="C60" s="17"/>
      <c r="D60" s="16"/>
      <c r="E60" s="16"/>
      <c r="F60" s="16"/>
      <c r="G60" s="16"/>
      <c r="H60" s="18"/>
      <c r="I60" s="12" t="str">
        <f t="shared" si="0"/>
        <v/>
      </c>
      <c r="J60" s="16"/>
      <c r="K60" s="12" t="str">
        <f t="shared" si="1"/>
        <v/>
      </c>
      <c r="L60" s="16"/>
      <c r="M60" s="16"/>
      <c r="N60" s="16"/>
      <c r="O60" s="16"/>
      <c r="P60" s="16"/>
      <c r="Q60" s="16"/>
      <c r="R60" s="16"/>
    </row>
    <row r="61" spans="1:18" ht="57.75" customHeight="1" x14ac:dyDescent="0.3">
      <c r="A61" s="12" t="str">
        <f>IF(TRIM(B61)="","","ATH-"&amp;TEXT(57,"0000"))</f>
        <v/>
      </c>
      <c r="B61" s="19"/>
      <c r="C61" s="20"/>
      <c r="D61" s="19"/>
      <c r="E61" s="19"/>
      <c r="F61" s="19"/>
      <c r="G61" s="19"/>
      <c r="H61" s="21"/>
      <c r="I61" s="12" t="str">
        <f t="shared" si="0"/>
        <v/>
      </c>
      <c r="J61" s="19"/>
      <c r="K61" s="12" t="str">
        <f t="shared" si="1"/>
        <v/>
      </c>
      <c r="L61" s="19"/>
      <c r="M61" s="19"/>
      <c r="N61" s="19"/>
      <c r="O61" s="19"/>
      <c r="P61" s="19"/>
      <c r="Q61" s="19"/>
      <c r="R61" s="19"/>
    </row>
    <row r="62" spans="1:18" ht="57.75" customHeight="1" x14ac:dyDescent="0.3">
      <c r="A62" s="12" t="str">
        <f>IF(TRIM(B62)="","","ATH-"&amp;TEXT(58,"0000"))</f>
        <v/>
      </c>
      <c r="B62" s="16"/>
      <c r="C62" s="17"/>
      <c r="D62" s="16"/>
      <c r="E62" s="16"/>
      <c r="F62" s="16"/>
      <c r="G62" s="16"/>
      <c r="H62" s="18"/>
      <c r="I62" s="12" t="str">
        <f t="shared" si="0"/>
        <v/>
      </c>
      <c r="J62" s="16"/>
      <c r="K62" s="12" t="str">
        <f t="shared" si="1"/>
        <v/>
      </c>
      <c r="L62" s="16"/>
      <c r="M62" s="16"/>
      <c r="N62" s="16"/>
      <c r="O62" s="16"/>
      <c r="P62" s="16"/>
      <c r="Q62" s="16"/>
      <c r="R62" s="16"/>
    </row>
    <row r="63" spans="1:18" ht="57.75" customHeight="1" x14ac:dyDescent="0.3">
      <c r="A63" s="12" t="str">
        <f>IF(TRIM(B63)="","","ATH-"&amp;TEXT(59,"0000"))</f>
        <v/>
      </c>
      <c r="B63" s="19"/>
      <c r="C63" s="20"/>
      <c r="D63" s="19"/>
      <c r="E63" s="19"/>
      <c r="F63" s="19"/>
      <c r="G63" s="19"/>
      <c r="H63" s="21"/>
      <c r="I63" s="12" t="str">
        <f t="shared" si="0"/>
        <v/>
      </c>
      <c r="J63" s="19"/>
      <c r="K63" s="12" t="str">
        <f t="shared" si="1"/>
        <v/>
      </c>
      <c r="L63" s="19"/>
      <c r="M63" s="19"/>
      <c r="N63" s="19"/>
      <c r="O63" s="19"/>
      <c r="P63" s="19"/>
      <c r="Q63" s="19"/>
      <c r="R63" s="19"/>
    </row>
    <row r="64" spans="1:18" ht="57.75" customHeight="1" x14ac:dyDescent="0.3">
      <c r="A64" s="12" t="str">
        <f>IF(TRIM(B64)="","","ATH-"&amp;TEXT(60,"0000"))</f>
        <v/>
      </c>
      <c r="B64" s="16"/>
      <c r="C64" s="17"/>
      <c r="D64" s="16"/>
      <c r="E64" s="16"/>
      <c r="F64" s="16"/>
      <c r="G64" s="16"/>
      <c r="H64" s="18"/>
      <c r="I64" s="12" t="str">
        <f t="shared" si="0"/>
        <v/>
      </c>
      <c r="J64" s="16"/>
      <c r="K64" s="12" t="str">
        <f t="shared" si="1"/>
        <v/>
      </c>
      <c r="L64" s="16"/>
      <c r="M64" s="16"/>
      <c r="N64" s="16"/>
      <c r="O64" s="16"/>
      <c r="P64" s="16"/>
      <c r="Q64" s="16"/>
      <c r="R64" s="16"/>
    </row>
    <row r="65" spans="1:18" ht="57.75" customHeight="1" x14ac:dyDescent="0.3">
      <c r="A65" s="12" t="str">
        <f>IF(TRIM(B65)="","","ATH-"&amp;TEXT(61,"0000"))</f>
        <v/>
      </c>
      <c r="B65" s="19"/>
      <c r="C65" s="20"/>
      <c r="D65" s="19"/>
      <c r="E65" s="19"/>
      <c r="F65" s="19"/>
      <c r="G65" s="19"/>
      <c r="H65" s="21"/>
      <c r="I65" s="12" t="str">
        <f t="shared" si="0"/>
        <v/>
      </c>
      <c r="J65" s="19"/>
      <c r="K65" s="12" t="str">
        <f t="shared" si="1"/>
        <v/>
      </c>
      <c r="L65" s="19"/>
      <c r="M65" s="19"/>
      <c r="N65" s="19"/>
      <c r="O65" s="19"/>
      <c r="P65" s="19"/>
      <c r="Q65" s="19"/>
      <c r="R65" s="19"/>
    </row>
    <row r="66" spans="1:18" ht="57.75" customHeight="1" x14ac:dyDescent="0.3">
      <c r="A66" s="12" t="str">
        <f>IF(TRIM(B66)="","","ATH-"&amp;TEXT(62,"0000"))</f>
        <v/>
      </c>
      <c r="B66" s="16"/>
      <c r="C66" s="17"/>
      <c r="D66" s="16"/>
      <c r="E66" s="16"/>
      <c r="F66" s="16"/>
      <c r="G66" s="16"/>
      <c r="H66" s="18"/>
      <c r="I66" s="12" t="str">
        <f t="shared" si="0"/>
        <v/>
      </c>
      <c r="J66" s="16"/>
      <c r="K66" s="12" t="str">
        <f t="shared" si="1"/>
        <v/>
      </c>
      <c r="L66" s="16"/>
      <c r="M66" s="16"/>
      <c r="N66" s="16"/>
      <c r="O66" s="16"/>
      <c r="P66" s="16"/>
      <c r="Q66" s="16"/>
      <c r="R66" s="16"/>
    </row>
    <row r="67" spans="1:18" ht="57.75" customHeight="1" x14ac:dyDescent="0.3">
      <c r="A67" s="12" t="str">
        <f>IF(TRIM(B67)="","","ATH-"&amp;TEXT(63,"0000"))</f>
        <v/>
      </c>
      <c r="B67" s="19"/>
      <c r="C67" s="20"/>
      <c r="D67" s="19"/>
      <c r="E67" s="19"/>
      <c r="F67" s="19"/>
      <c r="G67" s="19"/>
      <c r="H67" s="21"/>
      <c r="I67" s="12" t="str">
        <f t="shared" si="0"/>
        <v/>
      </c>
      <c r="J67" s="19"/>
      <c r="K67" s="12" t="str">
        <f t="shared" si="1"/>
        <v/>
      </c>
      <c r="L67" s="19"/>
      <c r="M67" s="19"/>
      <c r="N67" s="19"/>
      <c r="O67" s="19"/>
      <c r="P67" s="19"/>
      <c r="Q67" s="19"/>
      <c r="R67" s="19"/>
    </row>
    <row r="68" spans="1:18" ht="57.75" customHeight="1" x14ac:dyDescent="0.3">
      <c r="A68" s="12" t="str">
        <f>IF(TRIM(B68)="","","ATH-"&amp;TEXT(64,"0000"))</f>
        <v/>
      </c>
      <c r="B68" s="16"/>
      <c r="C68" s="17"/>
      <c r="D68" s="16"/>
      <c r="E68" s="16"/>
      <c r="F68" s="16"/>
      <c r="G68" s="16"/>
      <c r="H68" s="18"/>
      <c r="I68" s="12" t="str">
        <f t="shared" si="0"/>
        <v/>
      </c>
      <c r="J68" s="16"/>
      <c r="K68" s="12" t="str">
        <f t="shared" si="1"/>
        <v/>
      </c>
      <c r="L68" s="16"/>
      <c r="M68" s="16"/>
      <c r="N68" s="16"/>
      <c r="O68" s="16"/>
      <c r="P68" s="16"/>
      <c r="Q68" s="16"/>
      <c r="R68" s="16"/>
    </row>
    <row r="69" spans="1:18" ht="57.75" customHeight="1" x14ac:dyDescent="0.3">
      <c r="A69" s="12" t="str">
        <f>IF(TRIM(B69)="","","ATH-"&amp;TEXT(65,"0000"))</f>
        <v/>
      </c>
      <c r="B69" s="19"/>
      <c r="C69" s="20"/>
      <c r="D69" s="19"/>
      <c r="E69" s="19"/>
      <c r="F69" s="19"/>
      <c r="G69" s="19"/>
      <c r="H69" s="21"/>
      <c r="I69" s="12" t="str">
        <f t="shared" ref="I69:I132" si="2">IFERROR(IF(TRIM(H69)="","",VALUE(IF(ISNUMBER(FIND(" ",TRIM(H69))),LEFT(TRIM(H69),FIND(" ",TRIM(H69))-1),IF(ISNUMBER(VALUE(TRIM(H69))),TRIM(H69),LEFT(TRIM(H69),LEN(TRIM(H69))-1))))*IF(OR(ISNUMBER(SEARCH("Crore",H69)),ISNUMBER(SEARCH("Cr",H69))),10000000,IF(OR(ISNUMBER(SEARCH("Lakh",H69)),ISNUMBER(SEARCH("Lac",H69)),ISNUMBER(SEARCH("L",H69))),100000,IF(OR(ISNUMBER(SEARCH("Thousand",H69)),ISNUMBER(SEARCH("K",H69))),1000,1)))),"")</f>
        <v/>
      </c>
      <c r="J69" s="19"/>
      <c r="K69" s="12" t="str">
        <f t="shared" ref="K69:K132" si="3">IFERROR(IF(TRIM(J69)="","",ROUND(VALUE(IF(ISNUMBER(FIND(" ",TRIM(J69))),LEFT(TRIM(J69),FIND(" ",TRIM(J69))-1),IF(ISNUMBER(VALUE(TRIM(J69))),TRIM(J69),LEFT(TRIM(J69),LEN(TRIM(J69))-1))))*IF(ISNUMBER(SEARCH("Acre",J69)),4046.8564224,IF(ISNUMBER(SEARCH("Guntha",J69)),101.17141056,IF(ISNUMBER(SEARCH("Hectare",J69)),10000,IF(ISNUMBER(SEARCH("Sq Ft",J69)),0.09290304,IF(OR(ISNUMBER(SEARCH("Sq M",J69)),ISNUMBER(SEARCH("SQM",J69))),1,1))))),2)),"")</f>
        <v/>
      </c>
      <c r="L69" s="19"/>
      <c r="M69" s="19"/>
      <c r="N69" s="19"/>
      <c r="O69" s="19"/>
      <c r="P69" s="19"/>
      <c r="Q69" s="19"/>
      <c r="R69" s="19"/>
    </row>
    <row r="70" spans="1:18" ht="57.75" customHeight="1" x14ac:dyDescent="0.3">
      <c r="A70" s="12" t="str">
        <f>IF(TRIM(B70)="","","ATH-"&amp;TEXT(66,"0000"))</f>
        <v/>
      </c>
      <c r="B70" s="16"/>
      <c r="C70" s="17"/>
      <c r="D70" s="16"/>
      <c r="E70" s="16"/>
      <c r="F70" s="16"/>
      <c r="G70" s="16"/>
      <c r="H70" s="18"/>
      <c r="I70" s="12" t="str">
        <f t="shared" si="2"/>
        <v/>
      </c>
      <c r="J70" s="16"/>
      <c r="K70" s="12" t="str">
        <f t="shared" si="3"/>
        <v/>
      </c>
      <c r="L70" s="16"/>
      <c r="M70" s="16"/>
      <c r="N70" s="16"/>
      <c r="O70" s="16"/>
      <c r="P70" s="16"/>
      <c r="Q70" s="16"/>
      <c r="R70" s="16"/>
    </row>
    <row r="71" spans="1:18" ht="57.75" customHeight="1" x14ac:dyDescent="0.3">
      <c r="A71" s="12" t="str">
        <f>IF(TRIM(B71)="","","ATH-"&amp;TEXT(67,"0000"))</f>
        <v/>
      </c>
      <c r="B71" s="19"/>
      <c r="C71" s="20"/>
      <c r="D71" s="19"/>
      <c r="E71" s="19"/>
      <c r="F71" s="19"/>
      <c r="G71" s="19"/>
      <c r="H71" s="21"/>
      <c r="I71" s="12" t="str">
        <f t="shared" si="2"/>
        <v/>
      </c>
      <c r="J71" s="19"/>
      <c r="K71" s="12" t="str">
        <f t="shared" si="3"/>
        <v/>
      </c>
      <c r="L71" s="19"/>
      <c r="M71" s="19"/>
      <c r="N71" s="19"/>
      <c r="O71" s="19"/>
      <c r="P71" s="19"/>
      <c r="Q71" s="19"/>
      <c r="R71" s="19"/>
    </row>
    <row r="72" spans="1:18" ht="57.75" customHeight="1" x14ac:dyDescent="0.3">
      <c r="A72" s="12" t="str">
        <f>IF(TRIM(B72)="","","ATH-"&amp;TEXT(68,"0000"))</f>
        <v/>
      </c>
      <c r="B72" s="16"/>
      <c r="C72" s="17"/>
      <c r="D72" s="16"/>
      <c r="E72" s="16"/>
      <c r="F72" s="16"/>
      <c r="G72" s="16"/>
      <c r="H72" s="18"/>
      <c r="I72" s="12" t="str">
        <f t="shared" si="2"/>
        <v/>
      </c>
      <c r="J72" s="16"/>
      <c r="K72" s="12" t="str">
        <f t="shared" si="3"/>
        <v/>
      </c>
      <c r="L72" s="16"/>
      <c r="M72" s="16"/>
      <c r="N72" s="16"/>
      <c r="O72" s="16"/>
      <c r="P72" s="16"/>
      <c r="Q72" s="16"/>
      <c r="R72" s="16"/>
    </row>
    <row r="73" spans="1:18" ht="57.75" customHeight="1" x14ac:dyDescent="0.3">
      <c r="A73" s="12" t="str">
        <f>IF(TRIM(B73)="","","ATH-"&amp;TEXT(69,"0000"))</f>
        <v/>
      </c>
      <c r="B73" s="19"/>
      <c r="C73" s="20"/>
      <c r="D73" s="19"/>
      <c r="E73" s="19"/>
      <c r="F73" s="19"/>
      <c r="G73" s="19"/>
      <c r="H73" s="21"/>
      <c r="I73" s="12" t="str">
        <f t="shared" si="2"/>
        <v/>
      </c>
      <c r="J73" s="19"/>
      <c r="K73" s="12" t="str">
        <f t="shared" si="3"/>
        <v/>
      </c>
      <c r="L73" s="19"/>
      <c r="M73" s="19"/>
      <c r="N73" s="19"/>
      <c r="O73" s="19"/>
      <c r="P73" s="19"/>
      <c r="Q73" s="19"/>
      <c r="R73" s="19"/>
    </row>
    <row r="74" spans="1:18" ht="57.75" customHeight="1" x14ac:dyDescent="0.3">
      <c r="A74" s="12" t="str">
        <f>IF(TRIM(B74)="","","ATH-"&amp;TEXT(70,"0000"))</f>
        <v/>
      </c>
      <c r="B74" s="16"/>
      <c r="C74" s="17"/>
      <c r="D74" s="16"/>
      <c r="E74" s="16"/>
      <c r="F74" s="16"/>
      <c r="G74" s="16"/>
      <c r="H74" s="18"/>
      <c r="I74" s="12" t="str">
        <f t="shared" si="2"/>
        <v/>
      </c>
      <c r="J74" s="16"/>
      <c r="K74" s="12" t="str">
        <f t="shared" si="3"/>
        <v/>
      </c>
      <c r="L74" s="16"/>
      <c r="M74" s="16"/>
      <c r="N74" s="16"/>
      <c r="O74" s="16"/>
      <c r="P74" s="16"/>
      <c r="Q74" s="16"/>
      <c r="R74" s="16"/>
    </row>
    <row r="75" spans="1:18" ht="57.75" customHeight="1" x14ac:dyDescent="0.3">
      <c r="A75" s="12" t="str">
        <f>IF(TRIM(B75)="","","ATH-"&amp;TEXT(71,"0000"))</f>
        <v/>
      </c>
      <c r="B75" s="19"/>
      <c r="C75" s="20"/>
      <c r="D75" s="19"/>
      <c r="E75" s="19"/>
      <c r="F75" s="19"/>
      <c r="G75" s="19"/>
      <c r="H75" s="21"/>
      <c r="I75" s="12" t="str">
        <f t="shared" si="2"/>
        <v/>
      </c>
      <c r="J75" s="19"/>
      <c r="K75" s="12" t="str">
        <f t="shared" si="3"/>
        <v/>
      </c>
      <c r="L75" s="19"/>
      <c r="M75" s="19"/>
      <c r="N75" s="19"/>
      <c r="O75" s="19"/>
      <c r="P75" s="19"/>
      <c r="Q75" s="19"/>
      <c r="R75" s="19"/>
    </row>
    <row r="76" spans="1:18" ht="57.75" customHeight="1" x14ac:dyDescent="0.3">
      <c r="A76" s="12" t="str">
        <f>IF(TRIM(B76)="","","ATH-"&amp;TEXT(72,"0000"))</f>
        <v/>
      </c>
      <c r="B76" s="16"/>
      <c r="C76" s="17"/>
      <c r="D76" s="16"/>
      <c r="E76" s="16"/>
      <c r="F76" s="16"/>
      <c r="G76" s="16"/>
      <c r="H76" s="18"/>
      <c r="I76" s="12" t="str">
        <f t="shared" si="2"/>
        <v/>
      </c>
      <c r="J76" s="16"/>
      <c r="K76" s="12" t="str">
        <f t="shared" si="3"/>
        <v/>
      </c>
      <c r="L76" s="16"/>
      <c r="M76" s="16"/>
      <c r="N76" s="16"/>
      <c r="O76" s="16"/>
      <c r="P76" s="16"/>
      <c r="Q76" s="16"/>
      <c r="R76" s="16"/>
    </row>
    <row r="77" spans="1:18" ht="57.75" customHeight="1" x14ac:dyDescent="0.3">
      <c r="A77" s="12" t="str">
        <f>IF(TRIM(B77)="","","ATH-"&amp;TEXT(73,"0000"))</f>
        <v/>
      </c>
      <c r="B77" s="19"/>
      <c r="C77" s="20"/>
      <c r="D77" s="19"/>
      <c r="E77" s="19"/>
      <c r="F77" s="19"/>
      <c r="G77" s="19"/>
      <c r="H77" s="21"/>
      <c r="I77" s="12" t="str">
        <f t="shared" si="2"/>
        <v/>
      </c>
      <c r="J77" s="19"/>
      <c r="K77" s="12" t="str">
        <f t="shared" si="3"/>
        <v/>
      </c>
      <c r="L77" s="19"/>
      <c r="M77" s="19"/>
      <c r="N77" s="19"/>
      <c r="O77" s="19"/>
      <c r="P77" s="19"/>
      <c r="Q77" s="19"/>
      <c r="R77" s="19"/>
    </row>
    <row r="78" spans="1:18" ht="57.75" customHeight="1" x14ac:dyDescent="0.3">
      <c r="A78" s="12" t="str">
        <f>IF(TRIM(B78)="","","ATH-"&amp;TEXT(74,"0000"))</f>
        <v/>
      </c>
      <c r="B78" s="16"/>
      <c r="C78" s="17"/>
      <c r="D78" s="16"/>
      <c r="E78" s="16"/>
      <c r="F78" s="16"/>
      <c r="G78" s="16"/>
      <c r="H78" s="18"/>
      <c r="I78" s="12" t="str">
        <f t="shared" si="2"/>
        <v/>
      </c>
      <c r="J78" s="16"/>
      <c r="K78" s="12" t="str">
        <f t="shared" si="3"/>
        <v/>
      </c>
      <c r="L78" s="16"/>
      <c r="M78" s="16"/>
      <c r="N78" s="16"/>
      <c r="O78" s="16"/>
      <c r="P78" s="16"/>
      <c r="Q78" s="16"/>
      <c r="R78" s="16"/>
    </row>
    <row r="79" spans="1:18" ht="57.75" customHeight="1" x14ac:dyDescent="0.3">
      <c r="A79" s="12" t="str">
        <f>IF(TRIM(B79)="","","ATH-"&amp;TEXT(75,"0000"))</f>
        <v/>
      </c>
      <c r="B79" s="19"/>
      <c r="C79" s="20"/>
      <c r="D79" s="19"/>
      <c r="E79" s="19"/>
      <c r="F79" s="19"/>
      <c r="G79" s="19"/>
      <c r="H79" s="21"/>
      <c r="I79" s="12" t="str">
        <f t="shared" si="2"/>
        <v/>
      </c>
      <c r="J79" s="19"/>
      <c r="K79" s="12" t="str">
        <f t="shared" si="3"/>
        <v/>
      </c>
      <c r="L79" s="19"/>
      <c r="M79" s="19"/>
      <c r="N79" s="19"/>
      <c r="O79" s="19"/>
      <c r="P79" s="19"/>
      <c r="Q79" s="19"/>
      <c r="R79" s="19"/>
    </row>
    <row r="80" spans="1:18" ht="57.75" customHeight="1" x14ac:dyDescent="0.3">
      <c r="A80" s="12" t="str">
        <f>IF(TRIM(B80)="","","ATH-"&amp;TEXT(76,"0000"))</f>
        <v/>
      </c>
      <c r="B80" s="16"/>
      <c r="C80" s="17"/>
      <c r="D80" s="16"/>
      <c r="E80" s="16"/>
      <c r="F80" s="16"/>
      <c r="G80" s="16"/>
      <c r="H80" s="18"/>
      <c r="I80" s="12" t="str">
        <f t="shared" si="2"/>
        <v/>
      </c>
      <c r="J80" s="16"/>
      <c r="K80" s="12" t="str">
        <f t="shared" si="3"/>
        <v/>
      </c>
      <c r="L80" s="16"/>
      <c r="M80" s="16"/>
      <c r="N80" s="16"/>
      <c r="O80" s="16"/>
      <c r="P80" s="16"/>
      <c r="Q80" s="16"/>
      <c r="R80" s="16"/>
    </row>
    <row r="81" spans="1:18" ht="57.75" customHeight="1" x14ac:dyDescent="0.3">
      <c r="A81" s="12" t="str">
        <f>IF(TRIM(B81)="","","ATH-"&amp;TEXT(77,"0000"))</f>
        <v/>
      </c>
      <c r="B81" s="19"/>
      <c r="C81" s="20"/>
      <c r="D81" s="19"/>
      <c r="E81" s="19"/>
      <c r="F81" s="19"/>
      <c r="G81" s="19"/>
      <c r="H81" s="21"/>
      <c r="I81" s="12" t="str">
        <f t="shared" si="2"/>
        <v/>
      </c>
      <c r="J81" s="19"/>
      <c r="K81" s="12" t="str">
        <f t="shared" si="3"/>
        <v/>
      </c>
      <c r="L81" s="19"/>
      <c r="M81" s="19"/>
      <c r="N81" s="19"/>
      <c r="O81" s="19"/>
      <c r="P81" s="19"/>
      <c r="Q81" s="19"/>
      <c r="R81" s="19"/>
    </row>
    <row r="82" spans="1:18" ht="57.75" customHeight="1" x14ac:dyDescent="0.3">
      <c r="A82" s="12" t="str">
        <f>IF(TRIM(B82)="","","ATH-"&amp;TEXT(78,"0000"))</f>
        <v/>
      </c>
      <c r="B82" s="16"/>
      <c r="C82" s="17"/>
      <c r="D82" s="16"/>
      <c r="E82" s="16"/>
      <c r="F82" s="16"/>
      <c r="G82" s="16"/>
      <c r="H82" s="18"/>
      <c r="I82" s="12" t="str">
        <f t="shared" si="2"/>
        <v/>
      </c>
      <c r="J82" s="16"/>
      <c r="K82" s="12" t="str">
        <f t="shared" si="3"/>
        <v/>
      </c>
      <c r="L82" s="16"/>
      <c r="M82" s="16"/>
      <c r="N82" s="16"/>
      <c r="O82" s="16"/>
      <c r="P82" s="16"/>
      <c r="Q82" s="16"/>
      <c r="R82" s="16"/>
    </row>
    <row r="83" spans="1:18" ht="57.75" customHeight="1" x14ac:dyDescent="0.3">
      <c r="A83" s="12" t="str">
        <f>IF(TRIM(B83)="","","ATH-"&amp;TEXT(79,"0000"))</f>
        <v/>
      </c>
      <c r="B83" s="19"/>
      <c r="C83" s="20"/>
      <c r="D83" s="19"/>
      <c r="E83" s="19"/>
      <c r="F83" s="19"/>
      <c r="G83" s="19"/>
      <c r="H83" s="21"/>
      <c r="I83" s="12" t="str">
        <f t="shared" si="2"/>
        <v/>
      </c>
      <c r="J83" s="19"/>
      <c r="K83" s="12" t="str">
        <f t="shared" si="3"/>
        <v/>
      </c>
      <c r="L83" s="19"/>
      <c r="M83" s="19"/>
      <c r="N83" s="19"/>
      <c r="O83" s="19"/>
      <c r="P83" s="19"/>
      <c r="Q83" s="19"/>
      <c r="R83" s="19"/>
    </row>
    <row r="84" spans="1:18" ht="57.75" customHeight="1" x14ac:dyDescent="0.3">
      <c r="A84" s="12" t="str">
        <f>IF(TRIM(B84)="","","ATH-"&amp;TEXT(80,"0000"))</f>
        <v/>
      </c>
      <c r="B84" s="16"/>
      <c r="C84" s="17"/>
      <c r="D84" s="16"/>
      <c r="E84" s="16"/>
      <c r="F84" s="16"/>
      <c r="G84" s="16"/>
      <c r="H84" s="18"/>
      <c r="I84" s="12" t="str">
        <f t="shared" si="2"/>
        <v/>
      </c>
      <c r="J84" s="16"/>
      <c r="K84" s="12" t="str">
        <f t="shared" si="3"/>
        <v/>
      </c>
      <c r="L84" s="16"/>
      <c r="M84" s="16"/>
      <c r="N84" s="16"/>
      <c r="O84" s="16"/>
      <c r="P84" s="16"/>
      <c r="Q84" s="16"/>
      <c r="R84" s="16"/>
    </row>
    <row r="85" spans="1:18" ht="57.75" customHeight="1" x14ac:dyDescent="0.3">
      <c r="A85" s="12" t="str">
        <f>IF(TRIM(B85)="","","ATH-"&amp;TEXT(81,"0000"))</f>
        <v/>
      </c>
      <c r="B85" s="19"/>
      <c r="C85" s="20"/>
      <c r="D85" s="19"/>
      <c r="E85" s="19"/>
      <c r="F85" s="19"/>
      <c r="G85" s="19"/>
      <c r="H85" s="21"/>
      <c r="I85" s="12" t="str">
        <f t="shared" si="2"/>
        <v/>
      </c>
      <c r="J85" s="19"/>
      <c r="K85" s="12" t="str">
        <f t="shared" si="3"/>
        <v/>
      </c>
      <c r="L85" s="19"/>
      <c r="M85" s="19"/>
      <c r="N85" s="19"/>
      <c r="O85" s="19"/>
      <c r="P85" s="19"/>
      <c r="Q85" s="19"/>
      <c r="R85" s="19"/>
    </row>
    <row r="86" spans="1:18" ht="57.75" customHeight="1" x14ac:dyDescent="0.3">
      <c r="A86" s="12" t="str">
        <f>IF(TRIM(B86)="","","ATH-"&amp;TEXT(82,"0000"))</f>
        <v/>
      </c>
      <c r="B86" s="16"/>
      <c r="C86" s="17"/>
      <c r="D86" s="16"/>
      <c r="E86" s="16"/>
      <c r="F86" s="16"/>
      <c r="G86" s="16"/>
      <c r="H86" s="18"/>
      <c r="I86" s="12" t="str">
        <f t="shared" si="2"/>
        <v/>
      </c>
      <c r="J86" s="16"/>
      <c r="K86" s="12" t="str">
        <f t="shared" si="3"/>
        <v/>
      </c>
      <c r="L86" s="16"/>
      <c r="M86" s="16"/>
      <c r="N86" s="16"/>
      <c r="O86" s="16"/>
      <c r="P86" s="16"/>
      <c r="Q86" s="16"/>
      <c r="R86" s="16"/>
    </row>
    <row r="87" spans="1:18" ht="57.75" customHeight="1" x14ac:dyDescent="0.3">
      <c r="A87" s="12" t="str">
        <f>IF(TRIM(B87)="","","ATH-"&amp;TEXT(83,"0000"))</f>
        <v/>
      </c>
      <c r="B87" s="19"/>
      <c r="C87" s="20"/>
      <c r="D87" s="19"/>
      <c r="E87" s="19"/>
      <c r="F87" s="19"/>
      <c r="G87" s="19"/>
      <c r="H87" s="21"/>
      <c r="I87" s="12" t="str">
        <f t="shared" si="2"/>
        <v/>
      </c>
      <c r="J87" s="19"/>
      <c r="K87" s="12" t="str">
        <f t="shared" si="3"/>
        <v/>
      </c>
      <c r="L87" s="19"/>
      <c r="M87" s="19"/>
      <c r="N87" s="19"/>
      <c r="O87" s="19"/>
      <c r="P87" s="19"/>
      <c r="Q87" s="19"/>
      <c r="R87" s="19"/>
    </row>
    <row r="88" spans="1:18" ht="57.75" customHeight="1" x14ac:dyDescent="0.3">
      <c r="A88" s="12" t="str">
        <f>IF(TRIM(B88)="","","ATH-"&amp;TEXT(84,"0000"))</f>
        <v/>
      </c>
      <c r="B88" s="16"/>
      <c r="C88" s="17"/>
      <c r="D88" s="16"/>
      <c r="E88" s="16"/>
      <c r="F88" s="16"/>
      <c r="G88" s="16"/>
      <c r="H88" s="18"/>
      <c r="I88" s="12" t="str">
        <f t="shared" si="2"/>
        <v/>
      </c>
      <c r="J88" s="16"/>
      <c r="K88" s="12" t="str">
        <f t="shared" si="3"/>
        <v/>
      </c>
      <c r="L88" s="16"/>
      <c r="M88" s="16"/>
      <c r="N88" s="16"/>
      <c r="O88" s="16"/>
      <c r="P88" s="16"/>
      <c r="Q88" s="16"/>
      <c r="R88" s="16"/>
    </row>
    <row r="89" spans="1:18" ht="57.75" customHeight="1" x14ac:dyDescent="0.3">
      <c r="A89" s="12" t="str">
        <f>IF(TRIM(B89)="","","ATH-"&amp;TEXT(85,"0000"))</f>
        <v/>
      </c>
      <c r="B89" s="19"/>
      <c r="C89" s="20"/>
      <c r="D89" s="19"/>
      <c r="E89" s="19"/>
      <c r="F89" s="19"/>
      <c r="G89" s="19"/>
      <c r="H89" s="21"/>
      <c r="I89" s="12" t="str">
        <f t="shared" si="2"/>
        <v/>
      </c>
      <c r="J89" s="19"/>
      <c r="K89" s="12" t="str">
        <f t="shared" si="3"/>
        <v/>
      </c>
      <c r="L89" s="19"/>
      <c r="M89" s="19"/>
      <c r="N89" s="19"/>
      <c r="O89" s="19"/>
      <c r="P89" s="19"/>
      <c r="Q89" s="19"/>
      <c r="R89" s="19"/>
    </row>
    <row r="90" spans="1:18" ht="57.75" customHeight="1" x14ac:dyDescent="0.3">
      <c r="A90" s="12" t="str">
        <f>IF(TRIM(B90)="","","ATH-"&amp;TEXT(86,"0000"))</f>
        <v/>
      </c>
      <c r="B90" s="16"/>
      <c r="C90" s="17"/>
      <c r="D90" s="16"/>
      <c r="E90" s="16"/>
      <c r="F90" s="16"/>
      <c r="G90" s="16"/>
      <c r="H90" s="18"/>
      <c r="I90" s="12" t="str">
        <f t="shared" si="2"/>
        <v/>
      </c>
      <c r="J90" s="16"/>
      <c r="K90" s="12" t="str">
        <f t="shared" si="3"/>
        <v/>
      </c>
      <c r="L90" s="16"/>
      <c r="M90" s="16"/>
      <c r="N90" s="16"/>
      <c r="O90" s="16"/>
      <c r="P90" s="16"/>
      <c r="Q90" s="16"/>
      <c r="R90" s="16"/>
    </row>
    <row r="91" spans="1:18" ht="57.75" customHeight="1" x14ac:dyDescent="0.3">
      <c r="A91" s="12" t="str">
        <f>IF(TRIM(B91)="","","ATH-"&amp;TEXT(87,"0000"))</f>
        <v/>
      </c>
      <c r="B91" s="19"/>
      <c r="C91" s="20"/>
      <c r="D91" s="19"/>
      <c r="E91" s="19"/>
      <c r="F91" s="19"/>
      <c r="G91" s="19"/>
      <c r="H91" s="21"/>
      <c r="I91" s="12" t="str">
        <f t="shared" si="2"/>
        <v/>
      </c>
      <c r="J91" s="19"/>
      <c r="K91" s="12" t="str">
        <f t="shared" si="3"/>
        <v/>
      </c>
      <c r="L91" s="19"/>
      <c r="M91" s="19"/>
      <c r="N91" s="19"/>
      <c r="O91" s="19"/>
      <c r="P91" s="19"/>
      <c r="Q91" s="19"/>
      <c r="R91" s="19"/>
    </row>
    <row r="92" spans="1:18" ht="57.75" customHeight="1" x14ac:dyDescent="0.3">
      <c r="A92" s="12" t="str">
        <f>IF(TRIM(B92)="","","ATH-"&amp;TEXT(88,"0000"))</f>
        <v/>
      </c>
      <c r="B92" s="16"/>
      <c r="C92" s="17"/>
      <c r="D92" s="16"/>
      <c r="E92" s="16"/>
      <c r="F92" s="16"/>
      <c r="G92" s="16"/>
      <c r="H92" s="18"/>
      <c r="I92" s="12" t="str">
        <f t="shared" si="2"/>
        <v/>
      </c>
      <c r="J92" s="16"/>
      <c r="K92" s="12" t="str">
        <f t="shared" si="3"/>
        <v/>
      </c>
      <c r="L92" s="16"/>
      <c r="M92" s="16"/>
      <c r="N92" s="16"/>
      <c r="O92" s="16"/>
      <c r="P92" s="16"/>
      <c r="Q92" s="16"/>
      <c r="R92" s="16"/>
    </row>
    <row r="93" spans="1:18" ht="57.75" customHeight="1" x14ac:dyDescent="0.3">
      <c r="A93" s="12" t="str">
        <f>IF(TRIM(B93)="","","ATH-"&amp;TEXT(89,"0000"))</f>
        <v/>
      </c>
      <c r="B93" s="19"/>
      <c r="C93" s="20"/>
      <c r="D93" s="19"/>
      <c r="E93" s="19"/>
      <c r="F93" s="19"/>
      <c r="G93" s="19"/>
      <c r="H93" s="21"/>
      <c r="I93" s="12" t="str">
        <f t="shared" si="2"/>
        <v/>
      </c>
      <c r="J93" s="19"/>
      <c r="K93" s="12" t="str">
        <f t="shared" si="3"/>
        <v/>
      </c>
      <c r="L93" s="19"/>
      <c r="M93" s="19"/>
      <c r="N93" s="19"/>
      <c r="O93" s="19"/>
      <c r="P93" s="19"/>
      <c r="Q93" s="19"/>
      <c r="R93" s="19"/>
    </row>
    <row r="94" spans="1:18" ht="57.75" customHeight="1" x14ac:dyDescent="0.3">
      <c r="A94" s="12" t="str">
        <f>IF(TRIM(B94)="","","ATH-"&amp;TEXT(90,"0000"))</f>
        <v/>
      </c>
      <c r="B94" s="16"/>
      <c r="C94" s="17"/>
      <c r="D94" s="16"/>
      <c r="E94" s="16"/>
      <c r="F94" s="16"/>
      <c r="G94" s="16"/>
      <c r="H94" s="18"/>
      <c r="I94" s="12" t="str">
        <f t="shared" si="2"/>
        <v/>
      </c>
      <c r="J94" s="16"/>
      <c r="K94" s="12" t="str">
        <f t="shared" si="3"/>
        <v/>
      </c>
      <c r="L94" s="16"/>
      <c r="M94" s="16"/>
      <c r="N94" s="16"/>
      <c r="O94" s="16"/>
      <c r="P94" s="16"/>
      <c r="Q94" s="16"/>
      <c r="R94" s="16"/>
    </row>
    <row r="95" spans="1:18" ht="57.75" customHeight="1" x14ac:dyDescent="0.3">
      <c r="A95" s="12" t="str">
        <f>IF(TRIM(B95)="","","ATH-"&amp;TEXT(91,"0000"))</f>
        <v/>
      </c>
      <c r="B95" s="19"/>
      <c r="C95" s="20"/>
      <c r="D95" s="19"/>
      <c r="E95" s="19"/>
      <c r="F95" s="19"/>
      <c r="G95" s="19"/>
      <c r="H95" s="21"/>
      <c r="I95" s="12" t="str">
        <f t="shared" si="2"/>
        <v/>
      </c>
      <c r="J95" s="19"/>
      <c r="K95" s="12" t="str">
        <f t="shared" si="3"/>
        <v/>
      </c>
      <c r="L95" s="19"/>
      <c r="M95" s="19"/>
      <c r="N95" s="19"/>
      <c r="O95" s="19"/>
      <c r="P95" s="19"/>
      <c r="Q95" s="19"/>
      <c r="R95" s="19"/>
    </row>
    <row r="96" spans="1:18" ht="57.75" customHeight="1" x14ac:dyDescent="0.3">
      <c r="A96" s="12" t="str">
        <f>IF(TRIM(B96)="","","ATH-"&amp;TEXT(92,"0000"))</f>
        <v/>
      </c>
      <c r="B96" s="16"/>
      <c r="C96" s="17"/>
      <c r="D96" s="16"/>
      <c r="E96" s="16"/>
      <c r="F96" s="16"/>
      <c r="G96" s="16"/>
      <c r="H96" s="18"/>
      <c r="I96" s="12" t="str">
        <f t="shared" si="2"/>
        <v/>
      </c>
      <c r="J96" s="16"/>
      <c r="K96" s="12" t="str">
        <f t="shared" si="3"/>
        <v/>
      </c>
      <c r="L96" s="16"/>
      <c r="M96" s="16"/>
      <c r="N96" s="16"/>
      <c r="O96" s="16"/>
      <c r="P96" s="16"/>
      <c r="Q96" s="16"/>
      <c r="R96" s="16"/>
    </row>
    <row r="97" spans="1:18" ht="57.75" customHeight="1" x14ac:dyDescent="0.3">
      <c r="A97" s="12" t="str">
        <f>IF(TRIM(B97)="","","ATH-"&amp;TEXT(93,"0000"))</f>
        <v/>
      </c>
      <c r="B97" s="19"/>
      <c r="C97" s="20"/>
      <c r="D97" s="19"/>
      <c r="E97" s="19"/>
      <c r="F97" s="19"/>
      <c r="G97" s="19"/>
      <c r="H97" s="21"/>
      <c r="I97" s="12" t="str">
        <f t="shared" si="2"/>
        <v/>
      </c>
      <c r="J97" s="19"/>
      <c r="K97" s="12" t="str">
        <f t="shared" si="3"/>
        <v/>
      </c>
      <c r="L97" s="19"/>
      <c r="M97" s="19"/>
      <c r="N97" s="19"/>
      <c r="O97" s="19"/>
      <c r="P97" s="19"/>
      <c r="Q97" s="19"/>
      <c r="R97" s="19"/>
    </row>
    <row r="98" spans="1:18" ht="57.75" customHeight="1" x14ac:dyDescent="0.3">
      <c r="A98" s="12" t="str">
        <f>IF(TRIM(B98)="","","ATH-"&amp;TEXT(94,"0000"))</f>
        <v/>
      </c>
      <c r="B98" s="16"/>
      <c r="C98" s="17"/>
      <c r="D98" s="16"/>
      <c r="E98" s="16"/>
      <c r="F98" s="16"/>
      <c r="G98" s="16"/>
      <c r="H98" s="18"/>
      <c r="I98" s="12" t="str">
        <f t="shared" si="2"/>
        <v/>
      </c>
      <c r="J98" s="16"/>
      <c r="K98" s="12" t="str">
        <f t="shared" si="3"/>
        <v/>
      </c>
      <c r="L98" s="16"/>
      <c r="M98" s="16"/>
      <c r="N98" s="16"/>
      <c r="O98" s="16"/>
      <c r="P98" s="16"/>
      <c r="Q98" s="16"/>
      <c r="R98" s="16"/>
    </row>
    <row r="99" spans="1:18" ht="57.75" customHeight="1" x14ac:dyDescent="0.3">
      <c r="A99" s="12" t="str">
        <f>IF(TRIM(B99)="","","ATH-"&amp;TEXT(95,"0000"))</f>
        <v/>
      </c>
      <c r="B99" s="19"/>
      <c r="C99" s="20"/>
      <c r="D99" s="19"/>
      <c r="E99" s="19"/>
      <c r="F99" s="19"/>
      <c r="G99" s="19"/>
      <c r="H99" s="21"/>
      <c r="I99" s="12" t="str">
        <f t="shared" si="2"/>
        <v/>
      </c>
      <c r="J99" s="19"/>
      <c r="K99" s="12" t="str">
        <f t="shared" si="3"/>
        <v/>
      </c>
      <c r="L99" s="19"/>
      <c r="M99" s="19"/>
      <c r="N99" s="19"/>
      <c r="O99" s="19"/>
      <c r="P99" s="19"/>
      <c r="Q99" s="19"/>
      <c r="R99" s="19"/>
    </row>
    <row r="100" spans="1:18" ht="57.75" customHeight="1" x14ac:dyDescent="0.3">
      <c r="A100" s="12" t="str">
        <f>IF(TRIM(B100)="","","ATH-"&amp;TEXT(96,"0000"))</f>
        <v/>
      </c>
      <c r="B100" s="16"/>
      <c r="C100" s="17"/>
      <c r="D100" s="16"/>
      <c r="E100" s="16"/>
      <c r="F100" s="16"/>
      <c r="G100" s="16"/>
      <c r="H100" s="18"/>
      <c r="I100" s="12" t="str">
        <f t="shared" si="2"/>
        <v/>
      </c>
      <c r="J100" s="16"/>
      <c r="K100" s="12" t="str">
        <f t="shared" si="3"/>
        <v/>
      </c>
      <c r="L100" s="16"/>
      <c r="M100" s="16"/>
      <c r="N100" s="16"/>
      <c r="O100" s="16"/>
      <c r="P100" s="16"/>
      <c r="Q100" s="16"/>
      <c r="R100" s="16"/>
    </row>
    <row r="101" spans="1:18" ht="57.75" customHeight="1" x14ac:dyDescent="0.3">
      <c r="A101" s="12" t="str">
        <f>IF(TRIM(B101)="","","ATH-"&amp;TEXT(97,"0000"))</f>
        <v/>
      </c>
      <c r="B101" s="19"/>
      <c r="C101" s="20"/>
      <c r="D101" s="19"/>
      <c r="E101" s="19"/>
      <c r="F101" s="19"/>
      <c r="G101" s="19"/>
      <c r="H101" s="21"/>
      <c r="I101" s="12" t="str">
        <f t="shared" si="2"/>
        <v/>
      </c>
      <c r="J101" s="19"/>
      <c r="K101" s="12" t="str">
        <f t="shared" si="3"/>
        <v/>
      </c>
      <c r="L101" s="19"/>
      <c r="M101" s="19"/>
      <c r="N101" s="19"/>
      <c r="O101" s="19"/>
      <c r="P101" s="19"/>
      <c r="Q101" s="19"/>
      <c r="R101" s="19"/>
    </row>
    <row r="102" spans="1:18" ht="57.75" customHeight="1" x14ac:dyDescent="0.3">
      <c r="A102" s="12" t="str">
        <f>IF(TRIM(B102)="","","ATH-"&amp;TEXT(98,"0000"))</f>
        <v/>
      </c>
      <c r="B102" s="16"/>
      <c r="C102" s="17"/>
      <c r="D102" s="16"/>
      <c r="E102" s="16"/>
      <c r="F102" s="16"/>
      <c r="G102" s="16"/>
      <c r="H102" s="18"/>
      <c r="I102" s="12" t="str">
        <f t="shared" si="2"/>
        <v/>
      </c>
      <c r="J102" s="16"/>
      <c r="K102" s="12" t="str">
        <f t="shared" si="3"/>
        <v/>
      </c>
      <c r="L102" s="16"/>
      <c r="M102" s="16"/>
      <c r="N102" s="16"/>
      <c r="O102" s="16"/>
      <c r="P102" s="16"/>
      <c r="Q102" s="16"/>
      <c r="R102" s="16"/>
    </row>
    <row r="103" spans="1:18" ht="57.75" customHeight="1" x14ac:dyDescent="0.3">
      <c r="A103" s="12" t="str">
        <f>IF(TRIM(B103)="","","ATH-"&amp;TEXT(99,"0000"))</f>
        <v/>
      </c>
      <c r="B103" s="19"/>
      <c r="C103" s="20"/>
      <c r="D103" s="19"/>
      <c r="E103" s="19"/>
      <c r="F103" s="19"/>
      <c r="G103" s="19"/>
      <c r="H103" s="21"/>
      <c r="I103" s="12" t="str">
        <f t="shared" si="2"/>
        <v/>
      </c>
      <c r="J103" s="19"/>
      <c r="K103" s="12" t="str">
        <f t="shared" si="3"/>
        <v/>
      </c>
      <c r="L103" s="19"/>
      <c r="M103" s="19"/>
      <c r="N103" s="19"/>
      <c r="O103" s="19"/>
      <c r="P103" s="19"/>
      <c r="Q103" s="19"/>
      <c r="R103" s="19"/>
    </row>
    <row r="104" spans="1:18" ht="57.75" customHeight="1" x14ac:dyDescent="0.3">
      <c r="A104" s="12" t="str">
        <f>IF(TRIM(B104)="","","ATH-"&amp;TEXT(100,"0000"))</f>
        <v/>
      </c>
      <c r="B104" s="16"/>
      <c r="C104" s="17"/>
      <c r="D104" s="16"/>
      <c r="E104" s="16"/>
      <c r="F104" s="16"/>
      <c r="G104" s="16"/>
      <c r="H104" s="18"/>
      <c r="I104" s="12" t="str">
        <f t="shared" si="2"/>
        <v/>
      </c>
      <c r="J104" s="16"/>
      <c r="K104" s="12" t="str">
        <f t="shared" si="3"/>
        <v/>
      </c>
      <c r="L104" s="16"/>
      <c r="M104" s="16"/>
      <c r="N104" s="16"/>
      <c r="O104" s="16"/>
      <c r="P104" s="16"/>
      <c r="Q104" s="16"/>
      <c r="R104" s="16"/>
    </row>
    <row r="105" spans="1:18" ht="57.75" customHeight="1" x14ac:dyDescent="0.3">
      <c r="A105" s="12" t="str">
        <f>IF(TRIM(B105)="","","ATH-"&amp;TEXT(101,"0000"))</f>
        <v/>
      </c>
      <c r="B105" s="19"/>
      <c r="C105" s="20"/>
      <c r="D105" s="19"/>
      <c r="E105" s="19"/>
      <c r="F105" s="19"/>
      <c r="G105" s="19"/>
      <c r="H105" s="21"/>
      <c r="I105" s="12" t="str">
        <f t="shared" si="2"/>
        <v/>
      </c>
      <c r="J105" s="19"/>
      <c r="K105" s="12" t="str">
        <f t="shared" si="3"/>
        <v/>
      </c>
      <c r="L105" s="19"/>
      <c r="M105" s="19"/>
      <c r="N105" s="19"/>
      <c r="O105" s="19"/>
      <c r="P105" s="19"/>
      <c r="Q105" s="19"/>
      <c r="R105" s="19"/>
    </row>
    <row r="106" spans="1:18" ht="57.75" customHeight="1" x14ac:dyDescent="0.3">
      <c r="A106" s="12" t="str">
        <f>IF(TRIM(B106)="","","ATH-"&amp;TEXT(102,"0000"))</f>
        <v/>
      </c>
      <c r="B106" s="16"/>
      <c r="C106" s="17"/>
      <c r="D106" s="16"/>
      <c r="E106" s="16"/>
      <c r="F106" s="16"/>
      <c r="G106" s="16"/>
      <c r="H106" s="18"/>
      <c r="I106" s="12" t="str">
        <f t="shared" si="2"/>
        <v/>
      </c>
      <c r="J106" s="16"/>
      <c r="K106" s="12" t="str">
        <f t="shared" si="3"/>
        <v/>
      </c>
      <c r="L106" s="16"/>
      <c r="M106" s="16"/>
      <c r="N106" s="16"/>
      <c r="O106" s="16"/>
      <c r="P106" s="16"/>
      <c r="Q106" s="16"/>
      <c r="R106" s="16"/>
    </row>
    <row r="107" spans="1:18" ht="57.75" customHeight="1" x14ac:dyDescent="0.3">
      <c r="A107" s="12" t="str">
        <f>IF(TRIM(B107)="","","ATH-"&amp;TEXT(103,"0000"))</f>
        <v/>
      </c>
      <c r="B107" s="19"/>
      <c r="C107" s="20"/>
      <c r="D107" s="19"/>
      <c r="E107" s="19"/>
      <c r="F107" s="19"/>
      <c r="G107" s="19"/>
      <c r="H107" s="21"/>
      <c r="I107" s="12" t="str">
        <f t="shared" si="2"/>
        <v/>
      </c>
      <c r="J107" s="19"/>
      <c r="K107" s="12" t="str">
        <f t="shared" si="3"/>
        <v/>
      </c>
      <c r="L107" s="19"/>
      <c r="M107" s="19"/>
      <c r="N107" s="19"/>
      <c r="O107" s="19"/>
      <c r="P107" s="19"/>
      <c r="Q107" s="19"/>
      <c r="R107" s="19"/>
    </row>
    <row r="108" spans="1:18" ht="57.75" customHeight="1" x14ac:dyDescent="0.3">
      <c r="A108" s="12" t="str">
        <f>IF(TRIM(B108)="","","ATH-"&amp;TEXT(104,"0000"))</f>
        <v/>
      </c>
      <c r="B108" s="16"/>
      <c r="C108" s="17"/>
      <c r="D108" s="16"/>
      <c r="E108" s="16"/>
      <c r="F108" s="16"/>
      <c r="G108" s="16"/>
      <c r="H108" s="18"/>
      <c r="I108" s="12" t="str">
        <f t="shared" si="2"/>
        <v/>
      </c>
      <c r="J108" s="16"/>
      <c r="K108" s="12" t="str">
        <f t="shared" si="3"/>
        <v/>
      </c>
      <c r="L108" s="16"/>
      <c r="M108" s="16"/>
      <c r="N108" s="16"/>
      <c r="O108" s="16"/>
      <c r="P108" s="16"/>
      <c r="Q108" s="16"/>
      <c r="R108" s="16"/>
    </row>
    <row r="109" spans="1:18" ht="57.75" customHeight="1" x14ac:dyDescent="0.3">
      <c r="A109" s="12" t="str">
        <f>IF(TRIM(B109)="","","ATH-"&amp;TEXT(105,"0000"))</f>
        <v/>
      </c>
      <c r="B109" s="19"/>
      <c r="C109" s="20"/>
      <c r="D109" s="19"/>
      <c r="E109" s="19"/>
      <c r="F109" s="19"/>
      <c r="G109" s="19"/>
      <c r="H109" s="21"/>
      <c r="I109" s="12" t="str">
        <f t="shared" si="2"/>
        <v/>
      </c>
      <c r="J109" s="19"/>
      <c r="K109" s="12" t="str">
        <f t="shared" si="3"/>
        <v/>
      </c>
      <c r="L109" s="19"/>
      <c r="M109" s="19"/>
      <c r="N109" s="19"/>
      <c r="O109" s="19"/>
      <c r="P109" s="19"/>
      <c r="Q109" s="19"/>
      <c r="R109" s="19"/>
    </row>
    <row r="110" spans="1:18" ht="57.75" customHeight="1" x14ac:dyDescent="0.3">
      <c r="A110" s="12" t="str">
        <f>IF(TRIM(B110)="","","ATH-"&amp;TEXT(106,"0000"))</f>
        <v/>
      </c>
      <c r="B110" s="16"/>
      <c r="C110" s="17"/>
      <c r="D110" s="16"/>
      <c r="E110" s="16"/>
      <c r="F110" s="16"/>
      <c r="G110" s="16"/>
      <c r="H110" s="18"/>
      <c r="I110" s="12" t="str">
        <f t="shared" si="2"/>
        <v/>
      </c>
      <c r="J110" s="16"/>
      <c r="K110" s="12" t="str">
        <f t="shared" si="3"/>
        <v/>
      </c>
      <c r="L110" s="16"/>
      <c r="M110" s="16"/>
      <c r="N110" s="16"/>
      <c r="O110" s="16"/>
      <c r="P110" s="16"/>
      <c r="Q110" s="16"/>
      <c r="R110" s="16"/>
    </row>
    <row r="111" spans="1:18" ht="57.75" customHeight="1" x14ac:dyDescent="0.3">
      <c r="A111" s="12" t="str">
        <f>IF(TRIM(B111)="","","ATH-"&amp;TEXT(107,"0000"))</f>
        <v/>
      </c>
      <c r="B111" s="19"/>
      <c r="C111" s="20"/>
      <c r="D111" s="19"/>
      <c r="E111" s="19"/>
      <c r="F111" s="19"/>
      <c r="G111" s="19"/>
      <c r="H111" s="21"/>
      <c r="I111" s="12" t="str">
        <f t="shared" si="2"/>
        <v/>
      </c>
      <c r="J111" s="19"/>
      <c r="K111" s="12" t="str">
        <f t="shared" si="3"/>
        <v/>
      </c>
      <c r="L111" s="19"/>
      <c r="M111" s="19"/>
      <c r="N111" s="19"/>
      <c r="O111" s="19"/>
      <c r="P111" s="19"/>
      <c r="Q111" s="19"/>
      <c r="R111" s="19"/>
    </row>
    <row r="112" spans="1:18" ht="57.75" customHeight="1" x14ac:dyDescent="0.3">
      <c r="A112" s="12" t="str">
        <f>IF(TRIM(B112)="","","ATH-"&amp;TEXT(108,"0000"))</f>
        <v/>
      </c>
      <c r="B112" s="16"/>
      <c r="C112" s="17"/>
      <c r="D112" s="16"/>
      <c r="E112" s="16"/>
      <c r="F112" s="16"/>
      <c r="G112" s="16"/>
      <c r="H112" s="18"/>
      <c r="I112" s="12" t="str">
        <f t="shared" si="2"/>
        <v/>
      </c>
      <c r="J112" s="16"/>
      <c r="K112" s="12" t="str">
        <f t="shared" si="3"/>
        <v/>
      </c>
      <c r="L112" s="16"/>
      <c r="M112" s="16"/>
      <c r="N112" s="16"/>
      <c r="O112" s="16"/>
      <c r="P112" s="16"/>
      <c r="Q112" s="16"/>
      <c r="R112" s="16"/>
    </row>
    <row r="113" spans="1:18" ht="57.75" customHeight="1" x14ac:dyDescent="0.3">
      <c r="A113" s="12" t="str">
        <f>IF(TRIM(B113)="","","ATH-"&amp;TEXT(109,"0000"))</f>
        <v/>
      </c>
      <c r="B113" s="19"/>
      <c r="C113" s="20"/>
      <c r="D113" s="19"/>
      <c r="E113" s="19"/>
      <c r="F113" s="19"/>
      <c r="G113" s="19"/>
      <c r="H113" s="21"/>
      <c r="I113" s="12" t="str">
        <f t="shared" si="2"/>
        <v/>
      </c>
      <c r="J113" s="19"/>
      <c r="K113" s="12" t="str">
        <f t="shared" si="3"/>
        <v/>
      </c>
      <c r="L113" s="19"/>
      <c r="M113" s="19"/>
      <c r="N113" s="19"/>
      <c r="O113" s="19"/>
      <c r="P113" s="19"/>
      <c r="Q113" s="19"/>
      <c r="R113" s="19"/>
    </row>
    <row r="114" spans="1:18" ht="57.75" customHeight="1" x14ac:dyDescent="0.3">
      <c r="A114" s="12" t="str">
        <f>IF(TRIM(B114)="","","ATH-"&amp;TEXT(110,"0000"))</f>
        <v/>
      </c>
      <c r="B114" s="16"/>
      <c r="C114" s="17"/>
      <c r="D114" s="16"/>
      <c r="E114" s="16"/>
      <c r="F114" s="16"/>
      <c r="G114" s="16"/>
      <c r="H114" s="18"/>
      <c r="I114" s="12" t="str">
        <f t="shared" si="2"/>
        <v/>
      </c>
      <c r="J114" s="16"/>
      <c r="K114" s="12" t="str">
        <f t="shared" si="3"/>
        <v/>
      </c>
      <c r="L114" s="16"/>
      <c r="M114" s="16"/>
      <c r="N114" s="16"/>
      <c r="O114" s="16"/>
      <c r="P114" s="16"/>
      <c r="Q114" s="16"/>
      <c r="R114" s="16"/>
    </row>
    <row r="115" spans="1:18" ht="57.75" customHeight="1" x14ac:dyDescent="0.3">
      <c r="A115" s="12" t="str">
        <f>IF(TRIM(B115)="","","ATH-"&amp;TEXT(111,"0000"))</f>
        <v/>
      </c>
      <c r="B115" s="19"/>
      <c r="C115" s="20"/>
      <c r="D115" s="19"/>
      <c r="E115" s="19"/>
      <c r="F115" s="19"/>
      <c r="G115" s="19"/>
      <c r="H115" s="21"/>
      <c r="I115" s="12" t="str">
        <f t="shared" si="2"/>
        <v/>
      </c>
      <c r="J115" s="19"/>
      <c r="K115" s="12" t="str">
        <f t="shared" si="3"/>
        <v/>
      </c>
      <c r="L115" s="19"/>
      <c r="M115" s="19"/>
      <c r="N115" s="19"/>
      <c r="O115" s="19"/>
      <c r="P115" s="19"/>
      <c r="Q115" s="19"/>
      <c r="R115" s="19"/>
    </row>
    <row r="116" spans="1:18" ht="57.75" customHeight="1" x14ac:dyDescent="0.3">
      <c r="A116" s="12" t="str">
        <f>IF(TRIM(B116)="","","ATH-"&amp;TEXT(112,"0000"))</f>
        <v/>
      </c>
      <c r="B116" s="16"/>
      <c r="C116" s="17"/>
      <c r="D116" s="16"/>
      <c r="E116" s="16"/>
      <c r="F116" s="16"/>
      <c r="G116" s="16"/>
      <c r="H116" s="18"/>
      <c r="I116" s="12" t="str">
        <f t="shared" si="2"/>
        <v/>
      </c>
      <c r="J116" s="16"/>
      <c r="K116" s="12" t="str">
        <f t="shared" si="3"/>
        <v/>
      </c>
      <c r="L116" s="16"/>
      <c r="M116" s="16"/>
      <c r="N116" s="16"/>
      <c r="O116" s="16"/>
      <c r="P116" s="16"/>
      <c r="Q116" s="16"/>
      <c r="R116" s="16"/>
    </row>
    <row r="117" spans="1:18" ht="57.75" customHeight="1" x14ac:dyDescent="0.3">
      <c r="A117" s="12" t="str">
        <f>IF(TRIM(B117)="","","ATH-"&amp;TEXT(113,"0000"))</f>
        <v/>
      </c>
      <c r="B117" s="19"/>
      <c r="C117" s="20"/>
      <c r="D117" s="19"/>
      <c r="E117" s="19"/>
      <c r="F117" s="19"/>
      <c r="G117" s="19"/>
      <c r="H117" s="21"/>
      <c r="I117" s="12" t="str">
        <f t="shared" si="2"/>
        <v/>
      </c>
      <c r="J117" s="19"/>
      <c r="K117" s="12" t="str">
        <f t="shared" si="3"/>
        <v/>
      </c>
      <c r="L117" s="19"/>
      <c r="M117" s="19"/>
      <c r="N117" s="19"/>
      <c r="O117" s="19"/>
      <c r="P117" s="19"/>
      <c r="Q117" s="19"/>
      <c r="R117" s="19"/>
    </row>
    <row r="118" spans="1:18" ht="57.75" customHeight="1" x14ac:dyDescent="0.3">
      <c r="A118" s="12" t="str">
        <f>IF(TRIM(B118)="","","ATH-"&amp;TEXT(114,"0000"))</f>
        <v/>
      </c>
      <c r="B118" s="16"/>
      <c r="C118" s="17"/>
      <c r="D118" s="16"/>
      <c r="E118" s="16"/>
      <c r="F118" s="16"/>
      <c r="G118" s="16"/>
      <c r="H118" s="18"/>
      <c r="I118" s="12" t="str">
        <f t="shared" si="2"/>
        <v/>
      </c>
      <c r="J118" s="16"/>
      <c r="K118" s="12" t="str">
        <f t="shared" si="3"/>
        <v/>
      </c>
      <c r="L118" s="16"/>
      <c r="M118" s="16"/>
      <c r="N118" s="16"/>
      <c r="O118" s="16"/>
      <c r="P118" s="16"/>
      <c r="Q118" s="16"/>
      <c r="R118" s="16"/>
    </row>
    <row r="119" spans="1:18" ht="57.75" customHeight="1" x14ac:dyDescent="0.3">
      <c r="A119" s="12" t="str">
        <f>IF(TRIM(B119)="","","ATH-"&amp;TEXT(115,"0000"))</f>
        <v/>
      </c>
      <c r="B119" s="19"/>
      <c r="C119" s="20"/>
      <c r="D119" s="19"/>
      <c r="E119" s="19"/>
      <c r="F119" s="19"/>
      <c r="G119" s="19"/>
      <c r="H119" s="21"/>
      <c r="I119" s="12" t="str">
        <f t="shared" si="2"/>
        <v/>
      </c>
      <c r="J119" s="19"/>
      <c r="K119" s="12" t="str">
        <f t="shared" si="3"/>
        <v/>
      </c>
      <c r="L119" s="19"/>
      <c r="M119" s="19"/>
      <c r="N119" s="19"/>
      <c r="O119" s="19"/>
      <c r="P119" s="19"/>
      <c r="Q119" s="19"/>
      <c r="R119" s="19"/>
    </row>
    <row r="120" spans="1:18" ht="57.75" customHeight="1" x14ac:dyDescent="0.3">
      <c r="A120" s="12" t="str">
        <f>IF(TRIM(B120)="","","ATH-"&amp;TEXT(116,"0000"))</f>
        <v/>
      </c>
      <c r="B120" s="16"/>
      <c r="C120" s="17"/>
      <c r="D120" s="16"/>
      <c r="E120" s="16"/>
      <c r="F120" s="16"/>
      <c r="G120" s="16"/>
      <c r="H120" s="18"/>
      <c r="I120" s="12" t="str">
        <f t="shared" si="2"/>
        <v/>
      </c>
      <c r="J120" s="16"/>
      <c r="K120" s="12" t="str">
        <f t="shared" si="3"/>
        <v/>
      </c>
      <c r="L120" s="16"/>
      <c r="M120" s="16"/>
      <c r="N120" s="16"/>
      <c r="O120" s="16"/>
      <c r="P120" s="16"/>
      <c r="Q120" s="16"/>
      <c r="R120" s="16"/>
    </row>
    <row r="121" spans="1:18" ht="57.75" customHeight="1" x14ac:dyDescent="0.3">
      <c r="A121" s="12" t="str">
        <f>IF(TRIM(B121)="","","ATH-"&amp;TEXT(117,"0000"))</f>
        <v/>
      </c>
      <c r="B121" s="19"/>
      <c r="C121" s="20"/>
      <c r="D121" s="19"/>
      <c r="E121" s="19"/>
      <c r="F121" s="19"/>
      <c r="G121" s="19"/>
      <c r="H121" s="21"/>
      <c r="I121" s="12" t="str">
        <f t="shared" si="2"/>
        <v/>
      </c>
      <c r="J121" s="19"/>
      <c r="K121" s="12" t="str">
        <f t="shared" si="3"/>
        <v/>
      </c>
      <c r="L121" s="19"/>
      <c r="M121" s="19"/>
      <c r="N121" s="19"/>
      <c r="O121" s="19"/>
      <c r="P121" s="19"/>
      <c r="Q121" s="19"/>
      <c r="R121" s="19"/>
    </row>
    <row r="122" spans="1:18" ht="57.75" customHeight="1" x14ac:dyDescent="0.3">
      <c r="A122" s="12" t="str">
        <f>IF(TRIM(B122)="","","ATH-"&amp;TEXT(118,"0000"))</f>
        <v/>
      </c>
      <c r="B122" s="16"/>
      <c r="C122" s="17"/>
      <c r="D122" s="16"/>
      <c r="E122" s="16"/>
      <c r="F122" s="16"/>
      <c r="G122" s="16"/>
      <c r="H122" s="18"/>
      <c r="I122" s="12" t="str">
        <f t="shared" si="2"/>
        <v/>
      </c>
      <c r="J122" s="16"/>
      <c r="K122" s="12" t="str">
        <f t="shared" si="3"/>
        <v/>
      </c>
      <c r="L122" s="16"/>
      <c r="M122" s="16"/>
      <c r="N122" s="16"/>
      <c r="O122" s="16"/>
      <c r="P122" s="16"/>
      <c r="Q122" s="16"/>
      <c r="R122" s="16"/>
    </row>
    <row r="123" spans="1:18" ht="57.75" customHeight="1" x14ac:dyDescent="0.3">
      <c r="A123" s="12" t="str">
        <f>IF(TRIM(B123)="","","ATH-"&amp;TEXT(119,"0000"))</f>
        <v/>
      </c>
      <c r="B123" s="19"/>
      <c r="C123" s="20"/>
      <c r="D123" s="19"/>
      <c r="E123" s="19"/>
      <c r="F123" s="19"/>
      <c r="G123" s="19"/>
      <c r="H123" s="21"/>
      <c r="I123" s="12" t="str">
        <f t="shared" si="2"/>
        <v/>
      </c>
      <c r="J123" s="19"/>
      <c r="K123" s="12" t="str">
        <f t="shared" si="3"/>
        <v/>
      </c>
      <c r="L123" s="19"/>
      <c r="M123" s="19"/>
      <c r="N123" s="19"/>
      <c r="O123" s="19"/>
      <c r="P123" s="19"/>
      <c r="Q123" s="19"/>
      <c r="R123" s="19"/>
    </row>
    <row r="124" spans="1:18" ht="57.75" customHeight="1" x14ac:dyDescent="0.3">
      <c r="A124" s="12" t="str">
        <f>IF(TRIM(B124)="","","ATH-"&amp;TEXT(120,"0000"))</f>
        <v/>
      </c>
      <c r="B124" s="16"/>
      <c r="C124" s="17"/>
      <c r="D124" s="16"/>
      <c r="E124" s="16"/>
      <c r="F124" s="16"/>
      <c r="G124" s="16"/>
      <c r="H124" s="18"/>
      <c r="I124" s="12" t="str">
        <f t="shared" si="2"/>
        <v/>
      </c>
      <c r="J124" s="16"/>
      <c r="K124" s="12" t="str">
        <f t="shared" si="3"/>
        <v/>
      </c>
      <c r="L124" s="16"/>
      <c r="M124" s="16"/>
      <c r="N124" s="16"/>
      <c r="O124" s="16"/>
      <c r="P124" s="16"/>
      <c r="Q124" s="16"/>
      <c r="R124" s="16"/>
    </row>
    <row r="125" spans="1:18" ht="57.75" customHeight="1" x14ac:dyDescent="0.3">
      <c r="A125" s="12" t="str">
        <f>IF(TRIM(B125)="","","ATH-"&amp;TEXT(121,"0000"))</f>
        <v/>
      </c>
      <c r="B125" s="19"/>
      <c r="C125" s="20"/>
      <c r="D125" s="19"/>
      <c r="E125" s="19"/>
      <c r="F125" s="19"/>
      <c r="G125" s="19"/>
      <c r="H125" s="21"/>
      <c r="I125" s="12" t="str">
        <f t="shared" si="2"/>
        <v/>
      </c>
      <c r="J125" s="19"/>
      <c r="K125" s="12" t="str">
        <f t="shared" si="3"/>
        <v/>
      </c>
      <c r="L125" s="19"/>
      <c r="M125" s="19"/>
      <c r="N125" s="19"/>
      <c r="O125" s="19"/>
      <c r="P125" s="19"/>
      <c r="Q125" s="19"/>
      <c r="R125" s="19"/>
    </row>
    <row r="126" spans="1:18" ht="57.75" customHeight="1" x14ac:dyDescent="0.3">
      <c r="A126" s="12" t="str">
        <f>IF(TRIM(B126)="","","ATH-"&amp;TEXT(122,"0000"))</f>
        <v/>
      </c>
      <c r="B126" s="16"/>
      <c r="C126" s="17"/>
      <c r="D126" s="16"/>
      <c r="E126" s="16"/>
      <c r="F126" s="16"/>
      <c r="G126" s="16"/>
      <c r="H126" s="18"/>
      <c r="I126" s="12" t="str">
        <f t="shared" si="2"/>
        <v/>
      </c>
      <c r="J126" s="16"/>
      <c r="K126" s="12" t="str">
        <f t="shared" si="3"/>
        <v/>
      </c>
      <c r="L126" s="16"/>
      <c r="M126" s="16"/>
      <c r="N126" s="16"/>
      <c r="O126" s="16"/>
      <c r="P126" s="16"/>
      <c r="Q126" s="16"/>
      <c r="R126" s="16"/>
    </row>
    <row r="127" spans="1:18" ht="57.75" customHeight="1" x14ac:dyDescent="0.3">
      <c r="A127" s="12" t="str">
        <f>IF(TRIM(B127)="","","ATH-"&amp;TEXT(123,"0000"))</f>
        <v/>
      </c>
      <c r="B127" s="19"/>
      <c r="C127" s="20"/>
      <c r="D127" s="19"/>
      <c r="E127" s="19"/>
      <c r="F127" s="19"/>
      <c r="G127" s="19"/>
      <c r="H127" s="21"/>
      <c r="I127" s="12" t="str">
        <f t="shared" si="2"/>
        <v/>
      </c>
      <c r="J127" s="19"/>
      <c r="K127" s="12" t="str">
        <f t="shared" si="3"/>
        <v/>
      </c>
      <c r="L127" s="19"/>
      <c r="M127" s="19"/>
      <c r="N127" s="19"/>
      <c r="O127" s="19"/>
      <c r="P127" s="19"/>
      <c r="Q127" s="19"/>
      <c r="R127" s="19"/>
    </row>
    <row r="128" spans="1:18" ht="57.75" customHeight="1" x14ac:dyDescent="0.3">
      <c r="A128" s="12" t="str">
        <f>IF(TRIM(B128)="","","ATH-"&amp;TEXT(124,"0000"))</f>
        <v/>
      </c>
      <c r="B128" s="16"/>
      <c r="C128" s="17"/>
      <c r="D128" s="16"/>
      <c r="E128" s="16"/>
      <c r="F128" s="16"/>
      <c r="G128" s="16"/>
      <c r="H128" s="18"/>
      <c r="I128" s="12" t="str">
        <f t="shared" si="2"/>
        <v/>
      </c>
      <c r="J128" s="16"/>
      <c r="K128" s="12" t="str">
        <f t="shared" si="3"/>
        <v/>
      </c>
      <c r="L128" s="16"/>
      <c r="M128" s="16"/>
      <c r="N128" s="16"/>
      <c r="O128" s="16"/>
      <c r="P128" s="16"/>
      <c r="Q128" s="16"/>
      <c r="R128" s="16"/>
    </row>
    <row r="129" spans="1:18" ht="57.75" customHeight="1" x14ac:dyDescent="0.3">
      <c r="A129" s="12" t="str">
        <f>IF(TRIM(B129)="","","ATH-"&amp;TEXT(125,"0000"))</f>
        <v/>
      </c>
      <c r="B129" s="19"/>
      <c r="C129" s="20"/>
      <c r="D129" s="19"/>
      <c r="E129" s="19"/>
      <c r="F129" s="19"/>
      <c r="G129" s="19"/>
      <c r="H129" s="21"/>
      <c r="I129" s="12" t="str">
        <f t="shared" si="2"/>
        <v/>
      </c>
      <c r="J129" s="19"/>
      <c r="K129" s="12" t="str">
        <f t="shared" si="3"/>
        <v/>
      </c>
      <c r="L129" s="19"/>
      <c r="M129" s="19"/>
      <c r="N129" s="19"/>
      <c r="O129" s="19"/>
      <c r="P129" s="19"/>
      <c r="Q129" s="19"/>
      <c r="R129" s="19"/>
    </row>
    <row r="130" spans="1:18" ht="57.75" customHeight="1" x14ac:dyDescent="0.3">
      <c r="A130" s="12" t="str">
        <f>IF(TRIM(B130)="","","ATH-"&amp;TEXT(126,"0000"))</f>
        <v/>
      </c>
      <c r="B130" s="16"/>
      <c r="C130" s="17"/>
      <c r="D130" s="16"/>
      <c r="E130" s="16"/>
      <c r="F130" s="16"/>
      <c r="G130" s="16"/>
      <c r="H130" s="18"/>
      <c r="I130" s="12" t="str">
        <f t="shared" si="2"/>
        <v/>
      </c>
      <c r="J130" s="16"/>
      <c r="K130" s="12" t="str">
        <f t="shared" si="3"/>
        <v/>
      </c>
      <c r="L130" s="16"/>
      <c r="M130" s="16"/>
      <c r="N130" s="16"/>
      <c r="O130" s="16"/>
      <c r="P130" s="16"/>
      <c r="Q130" s="16"/>
      <c r="R130" s="16"/>
    </row>
    <row r="131" spans="1:18" ht="57.75" customHeight="1" x14ac:dyDescent="0.3">
      <c r="A131" s="12" t="str">
        <f>IF(TRIM(B131)="","","ATH-"&amp;TEXT(127,"0000"))</f>
        <v/>
      </c>
      <c r="B131" s="19"/>
      <c r="C131" s="20"/>
      <c r="D131" s="19"/>
      <c r="E131" s="19"/>
      <c r="F131" s="19"/>
      <c r="G131" s="19"/>
      <c r="H131" s="21"/>
      <c r="I131" s="12" t="str">
        <f t="shared" si="2"/>
        <v/>
      </c>
      <c r="J131" s="19"/>
      <c r="K131" s="12" t="str">
        <f t="shared" si="3"/>
        <v/>
      </c>
      <c r="L131" s="19"/>
      <c r="M131" s="19"/>
      <c r="N131" s="19"/>
      <c r="O131" s="19"/>
      <c r="P131" s="19"/>
      <c r="Q131" s="19"/>
      <c r="R131" s="19"/>
    </row>
    <row r="132" spans="1:18" ht="57.75" customHeight="1" x14ac:dyDescent="0.3">
      <c r="A132" s="12" t="str">
        <f>IF(TRIM(B132)="","","ATH-"&amp;TEXT(128,"0000"))</f>
        <v/>
      </c>
      <c r="B132" s="16"/>
      <c r="C132" s="17"/>
      <c r="D132" s="16"/>
      <c r="E132" s="16"/>
      <c r="F132" s="16"/>
      <c r="G132" s="16"/>
      <c r="H132" s="18"/>
      <c r="I132" s="12" t="str">
        <f t="shared" si="2"/>
        <v/>
      </c>
      <c r="J132" s="16"/>
      <c r="K132" s="12" t="str">
        <f t="shared" si="3"/>
        <v/>
      </c>
      <c r="L132" s="16"/>
      <c r="M132" s="16"/>
      <c r="N132" s="16"/>
      <c r="O132" s="16"/>
      <c r="P132" s="16"/>
      <c r="Q132" s="16"/>
      <c r="R132" s="16"/>
    </row>
    <row r="133" spans="1:18" ht="57.75" customHeight="1" x14ac:dyDescent="0.3">
      <c r="A133" s="12" t="str">
        <f>IF(TRIM(B133)="","","ATH-"&amp;TEXT(129,"0000"))</f>
        <v/>
      </c>
      <c r="B133" s="19"/>
      <c r="C133" s="20"/>
      <c r="D133" s="19"/>
      <c r="E133" s="19"/>
      <c r="F133" s="19"/>
      <c r="G133" s="19"/>
      <c r="H133" s="21"/>
      <c r="I133" s="12" t="str">
        <f t="shared" ref="I133:I196" si="4">IFERROR(IF(TRIM(H133)="","",VALUE(IF(ISNUMBER(FIND(" ",TRIM(H133))),LEFT(TRIM(H133),FIND(" ",TRIM(H133))-1),IF(ISNUMBER(VALUE(TRIM(H133))),TRIM(H133),LEFT(TRIM(H133),LEN(TRIM(H133))-1))))*IF(OR(ISNUMBER(SEARCH("Crore",H133)),ISNUMBER(SEARCH("Cr",H133))),10000000,IF(OR(ISNUMBER(SEARCH("Lakh",H133)),ISNUMBER(SEARCH("Lac",H133)),ISNUMBER(SEARCH("L",H133))),100000,IF(OR(ISNUMBER(SEARCH("Thousand",H133)),ISNUMBER(SEARCH("K",H133))),1000,1)))),"")</f>
        <v/>
      </c>
      <c r="J133" s="19"/>
      <c r="K133" s="12" t="str">
        <f t="shared" ref="K133:K196" si="5">IFERROR(IF(TRIM(J133)="","",ROUND(VALUE(IF(ISNUMBER(FIND(" ",TRIM(J133))),LEFT(TRIM(J133),FIND(" ",TRIM(J133))-1),IF(ISNUMBER(VALUE(TRIM(J133))),TRIM(J133),LEFT(TRIM(J133),LEN(TRIM(J133))-1))))*IF(ISNUMBER(SEARCH("Acre",J133)),4046.8564224,IF(ISNUMBER(SEARCH("Guntha",J133)),101.17141056,IF(ISNUMBER(SEARCH("Hectare",J133)),10000,IF(ISNUMBER(SEARCH("Sq Ft",J133)),0.09290304,IF(OR(ISNUMBER(SEARCH("Sq M",J133)),ISNUMBER(SEARCH("SQM",J133))),1,1))))),2)),"")</f>
        <v/>
      </c>
      <c r="L133" s="19"/>
      <c r="M133" s="19"/>
      <c r="N133" s="19"/>
      <c r="O133" s="19"/>
      <c r="P133" s="19"/>
      <c r="Q133" s="19"/>
      <c r="R133" s="19"/>
    </row>
    <row r="134" spans="1:18" ht="57.75" customHeight="1" x14ac:dyDescent="0.3">
      <c r="A134" s="12" t="str">
        <f>IF(TRIM(B134)="","","ATH-"&amp;TEXT(130,"0000"))</f>
        <v/>
      </c>
      <c r="B134" s="16"/>
      <c r="C134" s="17"/>
      <c r="D134" s="16"/>
      <c r="E134" s="16"/>
      <c r="F134" s="16"/>
      <c r="G134" s="16"/>
      <c r="H134" s="18"/>
      <c r="I134" s="12" t="str">
        <f t="shared" si="4"/>
        <v/>
      </c>
      <c r="J134" s="16"/>
      <c r="K134" s="12" t="str">
        <f t="shared" si="5"/>
        <v/>
      </c>
      <c r="L134" s="16"/>
      <c r="M134" s="16"/>
      <c r="N134" s="16"/>
      <c r="O134" s="16"/>
      <c r="P134" s="16"/>
      <c r="Q134" s="16"/>
      <c r="R134" s="16"/>
    </row>
    <row r="135" spans="1:18" ht="57.75" customHeight="1" x14ac:dyDescent="0.3">
      <c r="A135" s="12" t="str">
        <f>IF(TRIM(B135)="","","ATH-"&amp;TEXT(131,"0000"))</f>
        <v/>
      </c>
      <c r="B135" s="19"/>
      <c r="C135" s="20"/>
      <c r="D135" s="19"/>
      <c r="E135" s="19"/>
      <c r="F135" s="19"/>
      <c r="G135" s="19"/>
      <c r="H135" s="21"/>
      <c r="I135" s="12" t="str">
        <f t="shared" si="4"/>
        <v/>
      </c>
      <c r="J135" s="19"/>
      <c r="K135" s="12" t="str">
        <f t="shared" si="5"/>
        <v/>
      </c>
      <c r="L135" s="19"/>
      <c r="M135" s="19"/>
      <c r="N135" s="19"/>
      <c r="O135" s="19"/>
      <c r="P135" s="19"/>
      <c r="Q135" s="19"/>
      <c r="R135" s="19"/>
    </row>
    <row r="136" spans="1:18" ht="57.75" customHeight="1" x14ac:dyDescent="0.3">
      <c r="A136" s="12" t="str">
        <f>IF(TRIM(B136)="","","ATH-"&amp;TEXT(132,"0000"))</f>
        <v/>
      </c>
      <c r="B136" s="16"/>
      <c r="C136" s="17"/>
      <c r="D136" s="16"/>
      <c r="E136" s="16"/>
      <c r="F136" s="16"/>
      <c r="G136" s="16"/>
      <c r="H136" s="18"/>
      <c r="I136" s="12" t="str">
        <f t="shared" si="4"/>
        <v/>
      </c>
      <c r="J136" s="16"/>
      <c r="K136" s="12" t="str">
        <f t="shared" si="5"/>
        <v/>
      </c>
      <c r="L136" s="16"/>
      <c r="M136" s="16"/>
      <c r="N136" s="16"/>
      <c r="O136" s="16"/>
      <c r="P136" s="16"/>
      <c r="Q136" s="16"/>
      <c r="R136" s="16"/>
    </row>
    <row r="137" spans="1:18" ht="57.75" customHeight="1" x14ac:dyDescent="0.3">
      <c r="A137" s="12" t="str">
        <f>IF(TRIM(B137)="","","ATH-"&amp;TEXT(133,"0000"))</f>
        <v/>
      </c>
      <c r="B137" s="19"/>
      <c r="C137" s="20"/>
      <c r="D137" s="19"/>
      <c r="E137" s="19"/>
      <c r="F137" s="19"/>
      <c r="G137" s="19"/>
      <c r="H137" s="21"/>
      <c r="I137" s="12" t="str">
        <f t="shared" si="4"/>
        <v/>
      </c>
      <c r="J137" s="19"/>
      <c r="K137" s="12" t="str">
        <f t="shared" si="5"/>
        <v/>
      </c>
      <c r="L137" s="19"/>
      <c r="M137" s="19"/>
      <c r="N137" s="19"/>
      <c r="O137" s="19"/>
      <c r="P137" s="19"/>
      <c r="Q137" s="19"/>
      <c r="R137" s="19"/>
    </row>
    <row r="138" spans="1:18" ht="57.75" customHeight="1" x14ac:dyDescent="0.3">
      <c r="A138" s="12" t="str">
        <f>IF(TRIM(B138)="","","ATH-"&amp;TEXT(134,"0000"))</f>
        <v/>
      </c>
      <c r="B138" s="16"/>
      <c r="C138" s="17"/>
      <c r="D138" s="16"/>
      <c r="E138" s="16"/>
      <c r="F138" s="16"/>
      <c r="G138" s="16"/>
      <c r="H138" s="18"/>
      <c r="I138" s="12" t="str">
        <f t="shared" si="4"/>
        <v/>
      </c>
      <c r="J138" s="16"/>
      <c r="K138" s="12" t="str">
        <f t="shared" si="5"/>
        <v/>
      </c>
      <c r="L138" s="16"/>
      <c r="M138" s="16"/>
      <c r="N138" s="16"/>
      <c r="O138" s="16"/>
      <c r="P138" s="16"/>
      <c r="Q138" s="16"/>
      <c r="R138" s="16"/>
    </row>
    <row r="139" spans="1:18" ht="57.75" customHeight="1" x14ac:dyDescent="0.3">
      <c r="A139" s="12" t="str">
        <f>IF(TRIM(B139)="","","ATH-"&amp;TEXT(135,"0000"))</f>
        <v/>
      </c>
      <c r="B139" s="19"/>
      <c r="C139" s="20"/>
      <c r="D139" s="19"/>
      <c r="E139" s="19"/>
      <c r="F139" s="19"/>
      <c r="G139" s="19"/>
      <c r="H139" s="21"/>
      <c r="I139" s="12" t="str">
        <f t="shared" si="4"/>
        <v/>
      </c>
      <c r="J139" s="19"/>
      <c r="K139" s="12" t="str">
        <f t="shared" si="5"/>
        <v/>
      </c>
      <c r="L139" s="19"/>
      <c r="M139" s="19"/>
      <c r="N139" s="19"/>
      <c r="O139" s="19"/>
      <c r="P139" s="19"/>
      <c r="Q139" s="19"/>
      <c r="R139" s="19"/>
    </row>
    <row r="140" spans="1:18" ht="57.75" customHeight="1" x14ac:dyDescent="0.3">
      <c r="A140" s="12" t="str">
        <f>IF(TRIM(B140)="","","ATH-"&amp;TEXT(136,"0000"))</f>
        <v/>
      </c>
      <c r="B140" s="16"/>
      <c r="C140" s="17"/>
      <c r="D140" s="16"/>
      <c r="E140" s="16"/>
      <c r="F140" s="16"/>
      <c r="G140" s="16"/>
      <c r="H140" s="18"/>
      <c r="I140" s="12" t="str">
        <f t="shared" si="4"/>
        <v/>
      </c>
      <c r="J140" s="16"/>
      <c r="K140" s="12" t="str">
        <f t="shared" si="5"/>
        <v/>
      </c>
      <c r="L140" s="16"/>
      <c r="M140" s="16"/>
      <c r="N140" s="16"/>
      <c r="O140" s="16"/>
      <c r="P140" s="16"/>
      <c r="Q140" s="16"/>
      <c r="R140" s="16"/>
    </row>
    <row r="141" spans="1:18" ht="57.75" customHeight="1" x14ac:dyDescent="0.3">
      <c r="A141" s="12" t="str">
        <f>IF(TRIM(B141)="","","ATH-"&amp;TEXT(137,"0000"))</f>
        <v/>
      </c>
      <c r="B141" s="19"/>
      <c r="C141" s="20"/>
      <c r="D141" s="19"/>
      <c r="E141" s="19"/>
      <c r="F141" s="19"/>
      <c r="G141" s="19"/>
      <c r="H141" s="21"/>
      <c r="I141" s="12" t="str">
        <f t="shared" si="4"/>
        <v/>
      </c>
      <c r="J141" s="19"/>
      <c r="K141" s="12" t="str">
        <f t="shared" si="5"/>
        <v/>
      </c>
      <c r="L141" s="19"/>
      <c r="M141" s="19"/>
      <c r="N141" s="19"/>
      <c r="O141" s="19"/>
      <c r="P141" s="19"/>
      <c r="Q141" s="19"/>
      <c r="R141" s="19"/>
    </row>
    <row r="142" spans="1:18" ht="57.75" customHeight="1" x14ac:dyDescent="0.3">
      <c r="A142" s="12" t="str">
        <f>IF(TRIM(B142)="","","ATH-"&amp;TEXT(138,"0000"))</f>
        <v/>
      </c>
      <c r="B142" s="16"/>
      <c r="C142" s="17"/>
      <c r="D142" s="16"/>
      <c r="E142" s="16"/>
      <c r="F142" s="16"/>
      <c r="G142" s="16"/>
      <c r="H142" s="18"/>
      <c r="I142" s="12" t="str">
        <f t="shared" si="4"/>
        <v/>
      </c>
      <c r="J142" s="16"/>
      <c r="K142" s="12" t="str">
        <f t="shared" si="5"/>
        <v/>
      </c>
      <c r="L142" s="16"/>
      <c r="M142" s="16"/>
      <c r="N142" s="16"/>
      <c r="O142" s="16"/>
      <c r="P142" s="16"/>
      <c r="Q142" s="16"/>
      <c r="R142" s="16"/>
    </row>
    <row r="143" spans="1:18" ht="57.75" customHeight="1" x14ac:dyDescent="0.3">
      <c r="A143" s="12" t="str">
        <f>IF(TRIM(B143)="","","ATH-"&amp;TEXT(139,"0000"))</f>
        <v/>
      </c>
      <c r="B143" s="19"/>
      <c r="C143" s="20"/>
      <c r="D143" s="19"/>
      <c r="E143" s="19"/>
      <c r="F143" s="19"/>
      <c r="G143" s="19"/>
      <c r="H143" s="21"/>
      <c r="I143" s="12" t="str">
        <f t="shared" si="4"/>
        <v/>
      </c>
      <c r="J143" s="19"/>
      <c r="K143" s="12" t="str">
        <f t="shared" si="5"/>
        <v/>
      </c>
      <c r="L143" s="19"/>
      <c r="M143" s="19"/>
      <c r="N143" s="19"/>
      <c r="O143" s="19"/>
      <c r="P143" s="19"/>
      <c r="Q143" s="19"/>
      <c r="R143" s="19"/>
    </row>
    <row r="144" spans="1:18" ht="57.75" customHeight="1" x14ac:dyDescent="0.3">
      <c r="A144" s="12" t="str">
        <f>IF(TRIM(B144)="","","ATH-"&amp;TEXT(140,"0000"))</f>
        <v/>
      </c>
      <c r="B144" s="16"/>
      <c r="C144" s="17"/>
      <c r="D144" s="16"/>
      <c r="E144" s="16"/>
      <c r="F144" s="16"/>
      <c r="G144" s="16"/>
      <c r="H144" s="18"/>
      <c r="I144" s="12" t="str">
        <f t="shared" si="4"/>
        <v/>
      </c>
      <c r="J144" s="16"/>
      <c r="K144" s="12" t="str">
        <f t="shared" si="5"/>
        <v/>
      </c>
      <c r="L144" s="16"/>
      <c r="M144" s="16"/>
      <c r="N144" s="16"/>
      <c r="O144" s="16"/>
      <c r="P144" s="16"/>
      <c r="Q144" s="16"/>
      <c r="R144" s="16"/>
    </row>
    <row r="145" spans="1:18" ht="57.75" customHeight="1" x14ac:dyDescent="0.3">
      <c r="A145" s="12" t="str">
        <f>IF(TRIM(B145)="","","ATH-"&amp;TEXT(141,"0000"))</f>
        <v/>
      </c>
      <c r="B145" s="19"/>
      <c r="C145" s="20"/>
      <c r="D145" s="19"/>
      <c r="E145" s="19"/>
      <c r="F145" s="19"/>
      <c r="G145" s="19"/>
      <c r="H145" s="21"/>
      <c r="I145" s="12" t="str">
        <f t="shared" si="4"/>
        <v/>
      </c>
      <c r="J145" s="19"/>
      <c r="K145" s="12" t="str">
        <f t="shared" si="5"/>
        <v/>
      </c>
      <c r="L145" s="19"/>
      <c r="M145" s="19"/>
      <c r="N145" s="19"/>
      <c r="O145" s="19"/>
      <c r="P145" s="19"/>
      <c r="Q145" s="19"/>
      <c r="R145" s="19"/>
    </row>
    <row r="146" spans="1:18" ht="57.75" customHeight="1" x14ac:dyDescent="0.3">
      <c r="A146" s="12" t="str">
        <f>IF(TRIM(B146)="","","ATH-"&amp;TEXT(142,"0000"))</f>
        <v/>
      </c>
      <c r="B146" s="16"/>
      <c r="C146" s="17"/>
      <c r="D146" s="16"/>
      <c r="E146" s="16"/>
      <c r="F146" s="16"/>
      <c r="G146" s="16"/>
      <c r="H146" s="18"/>
      <c r="I146" s="12" t="str">
        <f t="shared" si="4"/>
        <v/>
      </c>
      <c r="J146" s="16"/>
      <c r="K146" s="12" t="str">
        <f t="shared" si="5"/>
        <v/>
      </c>
      <c r="L146" s="16"/>
      <c r="M146" s="16"/>
      <c r="N146" s="16"/>
      <c r="O146" s="16"/>
      <c r="P146" s="16"/>
      <c r="Q146" s="16"/>
      <c r="R146" s="16"/>
    </row>
    <row r="147" spans="1:18" ht="57.75" customHeight="1" x14ac:dyDescent="0.3">
      <c r="A147" s="12" t="str">
        <f>IF(TRIM(B147)="","","ATH-"&amp;TEXT(143,"0000"))</f>
        <v/>
      </c>
      <c r="B147" s="19"/>
      <c r="C147" s="20"/>
      <c r="D147" s="19"/>
      <c r="E147" s="19"/>
      <c r="F147" s="19"/>
      <c r="G147" s="19"/>
      <c r="H147" s="21"/>
      <c r="I147" s="12" t="str">
        <f t="shared" si="4"/>
        <v/>
      </c>
      <c r="J147" s="19"/>
      <c r="K147" s="12" t="str">
        <f t="shared" si="5"/>
        <v/>
      </c>
      <c r="L147" s="19"/>
      <c r="M147" s="19"/>
      <c r="N147" s="19"/>
      <c r="O147" s="19"/>
      <c r="P147" s="19"/>
      <c r="Q147" s="19"/>
      <c r="R147" s="19"/>
    </row>
    <row r="148" spans="1:18" ht="57.75" customHeight="1" x14ac:dyDescent="0.3">
      <c r="A148" s="12" t="str">
        <f>IF(TRIM(B148)="","","ATH-"&amp;TEXT(144,"0000"))</f>
        <v/>
      </c>
      <c r="B148" s="16"/>
      <c r="C148" s="17"/>
      <c r="D148" s="16"/>
      <c r="E148" s="16"/>
      <c r="F148" s="16"/>
      <c r="G148" s="16"/>
      <c r="H148" s="18"/>
      <c r="I148" s="12" t="str">
        <f t="shared" si="4"/>
        <v/>
      </c>
      <c r="J148" s="16"/>
      <c r="K148" s="12" t="str">
        <f t="shared" si="5"/>
        <v/>
      </c>
      <c r="L148" s="16"/>
      <c r="M148" s="16"/>
      <c r="N148" s="16"/>
      <c r="O148" s="16"/>
      <c r="P148" s="16"/>
      <c r="Q148" s="16"/>
      <c r="R148" s="16"/>
    </row>
    <row r="149" spans="1:18" ht="57.75" customHeight="1" x14ac:dyDescent="0.3">
      <c r="A149" s="12" t="str">
        <f>IF(TRIM(B149)="","","ATH-"&amp;TEXT(145,"0000"))</f>
        <v/>
      </c>
      <c r="B149" s="19"/>
      <c r="C149" s="20"/>
      <c r="D149" s="19"/>
      <c r="E149" s="19"/>
      <c r="F149" s="19"/>
      <c r="G149" s="19"/>
      <c r="H149" s="21"/>
      <c r="I149" s="12" t="str">
        <f t="shared" si="4"/>
        <v/>
      </c>
      <c r="J149" s="19"/>
      <c r="K149" s="12" t="str">
        <f t="shared" si="5"/>
        <v/>
      </c>
      <c r="L149" s="19"/>
      <c r="M149" s="19"/>
      <c r="N149" s="19"/>
      <c r="O149" s="19"/>
      <c r="P149" s="19"/>
      <c r="Q149" s="19"/>
      <c r="R149" s="19"/>
    </row>
    <row r="150" spans="1:18" ht="57.75" customHeight="1" x14ac:dyDescent="0.3">
      <c r="A150" s="12" t="str">
        <f>IF(TRIM(B150)="","","ATH-"&amp;TEXT(146,"0000"))</f>
        <v/>
      </c>
      <c r="B150" s="16"/>
      <c r="C150" s="17"/>
      <c r="D150" s="16"/>
      <c r="E150" s="16"/>
      <c r="F150" s="16"/>
      <c r="G150" s="16"/>
      <c r="H150" s="18"/>
      <c r="I150" s="12" t="str">
        <f t="shared" si="4"/>
        <v/>
      </c>
      <c r="J150" s="16"/>
      <c r="K150" s="12" t="str">
        <f t="shared" si="5"/>
        <v/>
      </c>
      <c r="L150" s="16"/>
      <c r="M150" s="16"/>
      <c r="N150" s="16"/>
      <c r="O150" s="16"/>
      <c r="P150" s="16"/>
      <c r="Q150" s="16"/>
      <c r="R150" s="16"/>
    </row>
    <row r="151" spans="1:18" ht="57.75" customHeight="1" x14ac:dyDescent="0.3">
      <c r="A151" s="12" t="str">
        <f>IF(TRIM(B151)="","","ATH-"&amp;TEXT(147,"0000"))</f>
        <v/>
      </c>
      <c r="B151" s="19"/>
      <c r="C151" s="20"/>
      <c r="D151" s="19"/>
      <c r="E151" s="19"/>
      <c r="F151" s="19"/>
      <c r="G151" s="19"/>
      <c r="H151" s="21"/>
      <c r="I151" s="12" t="str">
        <f t="shared" si="4"/>
        <v/>
      </c>
      <c r="J151" s="19"/>
      <c r="K151" s="12" t="str">
        <f t="shared" si="5"/>
        <v/>
      </c>
      <c r="L151" s="19"/>
      <c r="M151" s="19"/>
      <c r="N151" s="19"/>
      <c r="O151" s="19"/>
      <c r="P151" s="19"/>
      <c r="Q151" s="19"/>
      <c r="R151" s="19"/>
    </row>
    <row r="152" spans="1:18" ht="57.75" customHeight="1" x14ac:dyDescent="0.3">
      <c r="A152" s="12" t="str">
        <f>IF(TRIM(B152)="","","ATH-"&amp;TEXT(148,"0000"))</f>
        <v/>
      </c>
      <c r="B152" s="16"/>
      <c r="C152" s="17"/>
      <c r="D152" s="16"/>
      <c r="E152" s="16"/>
      <c r="F152" s="16"/>
      <c r="G152" s="16"/>
      <c r="H152" s="18"/>
      <c r="I152" s="12" t="str">
        <f t="shared" si="4"/>
        <v/>
      </c>
      <c r="J152" s="16"/>
      <c r="K152" s="12" t="str">
        <f t="shared" si="5"/>
        <v/>
      </c>
      <c r="L152" s="16"/>
      <c r="M152" s="16"/>
      <c r="N152" s="16"/>
      <c r="O152" s="16"/>
      <c r="P152" s="16"/>
      <c r="Q152" s="16"/>
      <c r="R152" s="16"/>
    </row>
    <row r="153" spans="1:18" ht="57.75" customHeight="1" x14ac:dyDescent="0.3">
      <c r="A153" s="12" t="str">
        <f>IF(TRIM(B153)="","","ATH-"&amp;TEXT(149,"0000"))</f>
        <v/>
      </c>
      <c r="B153" s="19"/>
      <c r="C153" s="20"/>
      <c r="D153" s="19"/>
      <c r="E153" s="19"/>
      <c r="F153" s="19"/>
      <c r="G153" s="19"/>
      <c r="H153" s="21"/>
      <c r="I153" s="12" t="str">
        <f t="shared" si="4"/>
        <v/>
      </c>
      <c r="J153" s="19"/>
      <c r="K153" s="12" t="str">
        <f t="shared" si="5"/>
        <v/>
      </c>
      <c r="L153" s="19"/>
      <c r="M153" s="19"/>
      <c r="N153" s="19"/>
      <c r="O153" s="19"/>
      <c r="P153" s="19"/>
      <c r="Q153" s="19"/>
      <c r="R153" s="19"/>
    </row>
    <row r="154" spans="1:18" ht="57.75" customHeight="1" x14ac:dyDescent="0.3">
      <c r="A154" s="12" t="str">
        <f>IF(TRIM(B154)="","","ATH-"&amp;TEXT(150,"0000"))</f>
        <v/>
      </c>
      <c r="B154" s="16"/>
      <c r="C154" s="17"/>
      <c r="D154" s="16"/>
      <c r="E154" s="16"/>
      <c r="F154" s="16"/>
      <c r="G154" s="16"/>
      <c r="H154" s="18"/>
      <c r="I154" s="12" t="str">
        <f t="shared" si="4"/>
        <v/>
      </c>
      <c r="J154" s="16"/>
      <c r="K154" s="12" t="str">
        <f t="shared" si="5"/>
        <v/>
      </c>
      <c r="L154" s="16"/>
      <c r="M154" s="16"/>
      <c r="N154" s="16"/>
      <c r="O154" s="16"/>
      <c r="P154" s="16"/>
      <c r="Q154" s="16"/>
      <c r="R154" s="16"/>
    </row>
    <row r="155" spans="1:18" ht="57.75" customHeight="1" x14ac:dyDescent="0.3">
      <c r="A155" s="12" t="str">
        <f>IF(TRIM(B155)="","","ATH-"&amp;TEXT(151,"0000"))</f>
        <v/>
      </c>
      <c r="B155" s="19"/>
      <c r="C155" s="20"/>
      <c r="D155" s="19"/>
      <c r="E155" s="19"/>
      <c r="F155" s="19"/>
      <c r="G155" s="19"/>
      <c r="H155" s="21"/>
      <c r="I155" s="12" t="str">
        <f t="shared" si="4"/>
        <v/>
      </c>
      <c r="J155" s="19"/>
      <c r="K155" s="12" t="str">
        <f t="shared" si="5"/>
        <v/>
      </c>
      <c r="L155" s="19"/>
      <c r="M155" s="19"/>
      <c r="N155" s="19"/>
      <c r="O155" s="19"/>
      <c r="P155" s="19"/>
      <c r="Q155" s="19"/>
      <c r="R155" s="19"/>
    </row>
    <row r="156" spans="1:18" ht="57.75" customHeight="1" x14ac:dyDescent="0.3">
      <c r="A156" s="12" t="str">
        <f>IF(TRIM(B156)="","","ATH-"&amp;TEXT(152,"0000"))</f>
        <v/>
      </c>
      <c r="B156" s="16"/>
      <c r="C156" s="17"/>
      <c r="D156" s="16"/>
      <c r="E156" s="16"/>
      <c r="F156" s="16"/>
      <c r="G156" s="16"/>
      <c r="H156" s="18"/>
      <c r="I156" s="12" t="str">
        <f t="shared" si="4"/>
        <v/>
      </c>
      <c r="J156" s="16"/>
      <c r="K156" s="12" t="str">
        <f t="shared" si="5"/>
        <v/>
      </c>
      <c r="L156" s="16"/>
      <c r="M156" s="16"/>
      <c r="N156" s="16"/>
      <c r="O156" s="16"/>
      <c r="P156" s="16"/>
      <c r="Q156" s="16"/>
      <c r="R156" s="16"/>
    </row>
    <row r="157" spans="1:18" ht="57.75" customHeight="1" x14ac:dyDescent="0.3">
      <c r="A157" s="12" t="str">
        <f>IF(TRIM(B157)="","","ATH-"&amp;TEXT(153,"0000"))</f>
        <v/>
      </c>
      <c r="B157" s="19"/>
      <c r="C157" s="20"/>
      <c r="D157" s="19"/>
      <c r="E157" s="19"/>
      <c r="F157" s="19"/>
      <c r="G157" s="19"/>
      <c r="H157" s="21"/>
      <c r="I157" s="12" t="str">
        <f t="shared" si="4"/>
        <v/>
      </c>
      <c r="J157" s="19"/>
      <c r="K157" s="12" t="str">
        <f t="shared" si="5"/>
        <v/>
      </c>
      <c r="L157" s="19"/>
      <c r="M157" s="19"/>
      <c r="N157" s="19"/>
      <c r="O157" s="19"/>
      <c r="P157" s="19"/>
      <c r="Q157" s="19"/>
      <c r="R157" s="19"/>
    </row>
    <row r="158" spans="1:18" ht="57.75" customHeight="1" x14ac:dyDescent="0.3">
      <c r="A158" s="12" t="str">
        <f>IF(TRIM(B158)="","","ATH-"&amp;TEXT(154,"0000"))</f>
        <v/>
      </c>
      <c r="B158" s="16"/>
      <c r="C158" s="17"/>
      <c r="D158" s="16"/>
      <c r="E158" s="16"/>
      <c r="F158" s="16"/>
      <c r="G158" s="16"/>
      <c r="H158" s="18"/>
      <c r="I158" s="12" t="str">
        <f t="shared" si="4"/>
        <v/>
      </c>
      <c r="J158" s="16"/>
      <c r="K158" s="12" t="str">
        <f t="shared" si="5"/>
        <v/>
      </c>
      <c r="L158" s="16"/>
      <c r="M158" s="16"/>
      <c r="N158" s="16"/>
      <c r="O158" s="16"/>
      <c r="P158" s="16"/>
      <c r="Q158" s="16"/>
      <c r="R158" s="16"/>
    </row>
    <row r="159" spans="1:18" ht="57.75" customHeight="1" x14ac:dyDescent="0.3">
      <c r="A159" s="12" t="str">
        <f>IF(TRIM(B159)="","","ATH-"&amp;TEXT(155,"0000"))</f>
        <v/>
      </c>
      <c r="B159" s="19"/>
      <c r="C159" s="20"/>
      <c r="D159" s="19"/>
      <c r="E159" s="19"/>
      <c r="F159" s="19"/>
      <c r="G159" s="19"/>
      <c r="H159" s="21"/>
      <c r="I159" s="12" t="str">
        <f t="shared" si="4"/>
        <v/>
      </c>
      <c r="J159" s="19"/>
      <c r="K159" s="12" t="str">
        <f t="shared" si="5"/>
        <v/>
      </c>
      <c r="L159" s="19"/>
      <c r="M159" s="19"/>
      <c r="N159" s="19"/>
      <c r="O159" s="19"/>
      <c r="P159" s="19"/>
      <c r="Q159" s="19"/>
      <c r="R159" s="19"/>
    </row>
    <row r="160" spans="1:18" ht="57.75" customHeight="1" x14ac:dyDescent="0.3">
      <c r="A160" s="12" t="str">
        <f>IF(TRIM(B160)="","","ATH-"&amp;TEXT(156,"0000"))</f>
        <v/>
      </c>
      <c r="B160" s="16"/>
      <c r="C160" s="17"/>
      <c r="D160" s="16"/>
      <c r="E160" s="16"/>
      <c r="F160" s="16"/>
      <c r="G160" s="16"/>
      <c r="H160" s="18"/>
      <c r="I160" s="12" t="str">
        <f t="shared" si="4"/>
        <v/>
      </c>
      <c r="J160" s="16"/>
      <c r="K160" s="12" t="str">
        <f t="shared" si="5"/>
        <v/>
      </c>
      <c r="L160" s="16"/>
      <c r="M160" s="16"/>
      <c r="N160" s="16"/>
      <c r="O160" s="16"/>
      <c r="P160" s="16"/>
      <c r="Q160" s="16"/>
      <c r="R160" s="16"/>
    </row>
    <row r="161" spans="1:18" ht="57.75" customHeight="1" x14ac:dyDescent="0.3">
      <c r="A161" s="12" t="str">
        <f>IF(TRIM(B161)="","","ATH-"&amp;TEXT(157,"0000"))</f>
        <v/>
      </c>
      <c r="B161" s="19"/>
      <c r="C161" s="20"/>
      <c r="D161" s="19"/>
      <c r="E161" s="19"/>
      <c r="F161" s="19"/>
      <c r="G161" s="19"/>
      <c r="H161" s="21"/>
      <c r="I161" s="12" t="str">
        <f t="shared" si="4"/>
        <v/>
      </c>
      <c r="J161" s="19"/>
      <c r="K161" s="12" t="str">
        <f t="shared" si="5"/>
        <v/>
      </c>
      <c r="L161" s="19"/>
      <c r="M161" s="19"/>
      <c r="N161" s="19"/>
      <c r="O161" s="19"/>
      <c r="P161" s="19"/>
      <c r="Q161" s="19"/>
      <c r="R161" s="19"/>
    </row>
    <row r="162" spans="1:18" ht="57.75" customHeight="1" x14ac:dyDescent="0.3">
      <c r="A162" s="12" t="str">
        <f>IF(TRIM(B162)="","","ATH-"&amp;TEXT(158,"0000"))</f>
        <v/>
      </c>
      <c r="B162" s="16"/>
      <c r="C162" s="17"/>
      <c r="D162" s="16"/>
      <c r="E162" s="16"/>
      <c r="F162" s="16"/>
      <c r="G162" s="16"/>
      <c r="H162" s="18"/>
      <c r="I162" s="12" t="str">
        <f t="shared" si="4"/>
        <v/>
      </c>
      <c r="J162" s="16"/>
      <c r="K162" s="12" t="str">
        <f t="shared" si="5"/>
        <v/>
      </c>
      <c r="L162" s="16"/>
      <c r="M162" s="16"/>
      <c r="N162" s="16"/>
      <c r="O162" s="16"/>
      <c r="P162" s="16"/>
      <c r="Q162" s="16"/>
      <c r="R162" s="16"/>
    </row>
    <row r="163" spans="1:18" ht="57.75" customHeight="1" x14ac:dyDescent="0.3">
      <c r="A163" s="12" t="str">
        <f>IF(TRIM(B163)="","","ATH-"&amp;TEXT(159,"0000"))</f>
        <v/>
      </c>
      <c r="B163" s="19"/>
      <c r="C163" s="20"/>
      <c r="D163" s="19"/>
      <c r="E163" s="19"/>
      <c r="F163" s="19"/>
      <c r="G163" s="19"/>
      <c r="H163" s="21"/>
      <c r="I163" s="12" t="str">
        <f t="shared" si="4"/>
        <v/>
      </c>
      <c r="J163" s="19"/>
      <c r="K163" s="12" t="str">
        <f t="shared" si="5"/>
        <v/>
      </c>
      <c r="L163" s="19"/>
      <c r="M163" s="19"/>
      <c r="N163" s="19"/>
      <c r="O163" s="19"/>
      <c r="P163" s="19"/>
      <c r="Q163" s="19"/>
      <c r="R163" s="19"/>
    </row>
    <row r="164" spans="1:18" ht="57.75" customHeight="1" x14ac:dyDescent="0.3">
      <c r="A164" s="12" t="str">
        <f>IF(TRIM(B164)="","","ATH-"&amp;TEXT(160,"0000"))</f>
        <v/>
      </c>
      <c r="B164" s="16"/>
      <c r="C164" s="17"/>
      <c r="D164" s="16"/>
      <c r="E164" s="16"/>
      <c r="F164" s="16"/>
      <c r="G164" s="16"/>
      <c r="H164" s="18"/>
      <c r="I164" s="12" t="str">
        <f t="shared" si="4"/>
        <v/>
      </c>
      <c r="J164" s="16"/>
      <c r="K164" s="12" t="str">
        <f t="shared" si="5"/>
        <v/>
      </c>
      <c r="L164" s="16"/>
      <c r="M164" s="16"/>
      <c r="N164" s="16"/>
      <c r="O164" s="16"/>
      <c r="P164" s="16"/>
      <c r="Q164" s="16"/>
      <c r="R164" s="16"/>
    </row>
    <row r="165" spans="1:18" ht="57.75" customHeight="1" x14ac:dyDescent="0.3">
      <c r="A165" s="12" t="str">
        <f>IF(TRIM(B165)="","","ATH-"&amp;TEXT(161,"0000"))</f>
        <v/>
      </c>
      <c r="B165" s="19"/>
      <c r="C165" s="20"/>
      <c r="D165" s="19"/>
      <c r="E165" s="19"/>
      <c r="F165" s="19"/>
      <c r="G165" s="19"/>
      <c r="H165" s="21"/>
      <c r="I165" s="12" t="str">
        <f t="shared" si="4"/>
        <v/>
      </c>
      <c r="J165" s="19"/>
      <c r="K165" s="12" t="str">
        <f t="shared" si="5"/>
        <v/>
      </c>
      <c r="L165" s="19"/>
      <c r="M165" s="19"/>
      <c r="N165" s="19"/>
      <c r="O165" s="19"/>
      <c r="P165" s="19"/>
      <c r="Q165" s="19"/>
      <c r="R165" s="19"/>
    </row>
    <row r="166" spans="1:18" ht="57.75" customHeight="1" x14ac:dyDescent="0.3">
      <c r="A166" s="12" t="str">
        <f>IF(TRIM(B166)="","","ATH-"&amp;TEXT(162,"0000"))</f>
        <v/>
      </c>
      <c r="B166" s="16"/>
      <c r="C166" s="17"/>
      <c r="D166" s="16"/>
      <c r="E166" s="16"/>
      <c r="F166" s="16"/>
      <c r="G166" s="16"/>
      <c r="H166" s="18"/>
      <c r="I166" s="12" t="str">
        <f t="shared" si="4"/>
        <v/>
      </c>
      <c r="J166" s="16"/>
      <c r="K166" s="12" t="str">
        <f t="shared" si="5"/>
        <v/>
      </c>
      <c r="L166" s="16"/>
      <c r="M166" s="16"/>
      <c r="N166" s="16"/>
      <c r="O166" s="16"/>
      <c r="P166" s="16"/>
      <c r="Q166" s="16"/>
      <c r="R166" s="16"/>
    </row>
    <row r="167" spans="1:18" ht="57.75" customHeight="1" x14ac:dyDescent="0.3">
      <c r="A167" s="12" t="str">
        <f>IF(TRIM(B167)="","","ATH-"&amp;TEXT(163,"0000"))</f>
        <v/>
      </c>
      <c r="B167" s="19"/>
      <c r="C167" s="20"/>
      <c r="D167" s="19"/>
      <c r="E167" s="19"/>
      <c r="F167" s="19"/>
      <c r="G167" s="19"/>
      <c r="H167" s="21"/>
      <c r="I167" s="12" t="str">
        <f t="shared" si="4"/>
        <v/>
      </c>
      <c r="J167" s="19"/>
      <c r="K167" s="12" t="str">
        <f t="shared" si="5"/>
        <v/>
      </c>
      <c r="L167" s="19"/>
      <c r="M167" s="19"/>
      <c r="N167" s="19"/>
      <c r="O167" s="19"/>
      <c r="P167" s="19"/>
      <c r="Q167" s="19"/>
      <c r="R167" s="19"/>
    </row>
    <row r="168" spans="1:18" ht="57.75" customHeight="1" x14ac:dyDescent="0.3">
      <c r="A168" s="12" t="str">
        <f>IF(TRIM(B168)="","","ATH-"&amp;TEXT(164,"0000"))</f>
        <v/>
      </c>
      <c r="B168" s="16"/>
      <c r="C168" s="17"/>
      <c r="D168" s="16"/>
      <c r="E168" s="16"/>
      <c r="F168" s="16"/>
      <c r="G168" s="16"/>
      <c r="H168" s="18"/>
      <c r="I168" s="12" t="str">
        <f t="shared" si="4"/>
        <v/>
      </c>
      <c r="J168" s="16"/>
      <c r="K168" s="12" t="str">
        <f t="shared" si="5"/>
        <v/>
      </c>
      <c r="L168" s="16"/>
      <c r="M168" s="16"/>
      <c r="N168" s="16"/>
      <c r="O168" s="16"/>
      <c r="P168" s="16"/>
      <c r="Q168" s="16"/>
      <c r="R168" s="16"/>
    </row>
    <row r="169" spans="1:18" ht="57.75" customHeight="1" x14ac:dyDescent="0.3">
      <c r="A169" s="12" t="str">
        <f>IF(TRIM(B169)="","","ATH-"&amp;TEXT(165,"0000"))</f>
        <v/>
      </c>
      <c r="B169" s="19"/>
      <c r="C169" s="20"/>
      <c r="D169" s="19"/>
      <c r="E169" s="19"/>
      <c r="F169" s="19"/>
      <c r="G169" s="19"/>
      <c r="H169" s="21"/>
      <c r="I169" s="12" t="str">
        <f t="shared" si="4"/>
        <v/>
      </c>
      <c r="J169" s="19"/>
      <c r="K169" s="12" t="str">
        <f t="shared" si="5"/>
        <v/>
      </c>
      <c r="L169" s="19"/>
      <c r="M169" s="19"/>
      <c r="N169" s="19"/>
      <c r="O169" s="19"/>
      <c r="P169" s="19"/>
      <c r="Q169" s="19"/>
      <c r="R169" s="19"/>
    </row>
    <row r="170" spans="1:18" ht="57.75" customHeight="1" x14ac:dyDescent="0.3">
      <c r="A170" s="12" t="str">
        <f>IF(TRIM(B170)="","","ATH-"&amp;TEXT(166,"0000"))</f>
        <v/>
      </c>
      <c r="B170" s="16"/>
      <c r="C170" s="17"/>
      <c r="D170" s="16"/>
      <c r="E170" s="16"/>
      <c r="F170" s="16"/>
      <c r="G170" s="16"/>
      <c r="H170" s="18"/>
      <c r="I170" s="12" t="str">
        <f t="shared" si="4"/>
        <v/>
      </c>
      <c r="J170" s="16"/>
      <c r="K170" s="12" t="str">
        <f t="shared" si="5"/>
        <v/>
      </c>
      <c r="L170" s="16"/>
      <c r="M170" s="16"/>
      <c r="N170" s="16"/>
      <c r="O170" s="16"/>
      <c r="P170" s="16"/>
      <c r="Q170" s="16"/>
      <c r="R170" s="16"/>
    </row>
    <row r="171" spans="1:18" ht="57.75" customHeight="1" x14ac:dyDescent="0.3">
      <c r="A171" s="12" t="str">
        <f>IF(TRIM(B171)="","","ATH-"&amp;TEXT(167,"0000"))</f>
        <v/>
      </c>
      <c r="B171" s="19"/>
      <c r="C171" s="20"/>
      <c r="D171" s="19"/>
      <c r="E171" s="19"/>
      <c r="F171" s="19"/>
      <c r="G171" s="19"/>
      <c r="H171" s="21"/>
      <c r="I171" s="12" t="str">
        <f t="shared" si="4"/>
        <v/>
      </c>
      <c r="J171" s="19"/>
      <c r="K171" s="12" t="str">
        <f t="shared" si="5"/>
        <v/>
      </c>
      <c r="L171" s="19"/>
      <c r="M171" s="19"/>
      <c r="N171" s="19"/>
      <c r="O171" s="19"/>
      <c r="P171" s="19"/>
      <c r="Q171" s="19"/>
      <c r="R171" s="19"/>
    </row>
    <row r="172" spans="1:18" ht="57.75" customHeight="1" x14ac:dyDescent="0.3">
      <c r="A172" s="12" t="str">
        <f>IF(TRIM(B172)="","","ATH-"&amp;TEXT(168,"0000"))</f>
        <v/>
      </c>
      <c r="B172" s="16"/>
      <c r="C172" s="17"/>
      <c r="D172" s="16"/>
      <c r="E172" s="16"/>
      <c r="F172" s="16"/>
      <c r="G172" s="16"/>
      <c r="H172" s="18"/>
      <c r="I172" s="12" t="str">
        <f t="shared" si="4"/>
        <v/>
      </c>
      <c r="J172" s="16"/>
      <c r="K172" s="12" t="str">
        <f t="shared" si="5"/>
        <v/>
      </c>
      <c r="L172" s="16"/>
      <c r="M172" s="16"/>
      <c r="N172" s="16"/>
      <c r="O172" s="16"/>
      <c r="P172" s="16"/>
      <c r="Q172" s="16"/>
      <c r="R172" s="16"/>
    </row>
    <row r="173" spans="1:18" ht="57.75" customHeight="1" x14ac:dyDescent="0.3">
      <c r="A173" s="12" t="str">
        <f>IF(TRIM(B173)="","","ATH-"&amp;TEXT(169,"0000"))</f>
        <v/>
      </c>
      <c r="B173" s="19"/>
      <c r="C173" s="20"/>
      <c r="D173" s="19"/>
      <c r="E173" s="19"/>
      <c r="F173" s="19"/>
      <c r="G173" s="19"/>
      <c r="H173" s="21"/>
      <c r="I173" s="12" t="str">
        <f t="shared" si="4"/>
        <v/>
      </c>
      <c r="J173" s="19"/>
      <c r="K173" s="12" t="str">
        <f t="shared" si="5"/>
        <v/>
      </c>
      <c r="L173" s="19"/>
      <c r="M173" s="19"/>
      <c r="N173" s="19"/>
      <c r="O173" s="19"/>
      <c r="P173" s="19"/>
      <c r="Q173" s="19"/>
      <c r="R173" s="19"/>
    </row>
    <row r="174" spans="1:18" ht="57.75" customHeight="1" x14ac:dyDescent="0.3">
      <c r="A174" s="12" t="str">
        <f>IF(TRIM(B174)="","","ATH-"&amp;TEXT(170,"0000"))</f>
        <v/>
      </c>
      <c r="B174" s="16"/>
      <c r="C174" s="17"/>
      <c r="D174" s="16"/>
      <c r="E174" s="16"/>
      <c r="F174" s="16"/>
      <c r="G174" s="16"/>
      <c r="H174" s="18"/>
      <c r="I174" s="12" t="str">
        <f t="shared" si="4"/>
        <v/>
      </c>
      <c r="J174" s="16"/>
      <c r="K174" s="12" t="str">
        <f t="shared" si="5"/>
        <v/>
      </c>
      <c r="L174" s="16"/>
      <c r="M174" s="16"/>
      <c r="N174" s="16"/>
      <c r="O174" s="16"/>
      <c r="P174" s="16"/>
      <c r="Q174" s="16"/>
      <c r="R174" s="16"/>
    </row>
    <row r="175" spans="1:18" ht="57.75" customHeight="1" x14ac:dyDescent="0.3">
      <c r="A175" s="12" t="str">
        <f>IF(TRIM(B175)="","","ATH-"&amp;TEXT(171,"0000"))</f>
        <v/>
      </c>
      <c r="B175" s="19"/>
      <c r="C175" s="20"/>
      <c r="D175" s="19"/>
      <c r="E175" s="19"/>
      <c r="F175" s="19"/>
      <c r="G175" s="19"/>
      <c r="H175" s="21"/>
      <c r="I175" s="12" t="str">
        <f t="shared" si="4"/>
        <v/>
      </c>
      <c r="J175" s="19"/>
      <c r="K175" s="12" t="str">
        <f t="shared" si="5"/>
        <v/>
      </c>
      <c r="L175" s="19"/>
      <c r="M175" s="19"/>
      <c r="N175" s="19"/>
      <c r="O175" s="19"/>
      <c r="P175" s="19"/>
      <c r="Q175" s="19"/>
      <c r="R175" s="19"/>
    </row>
    <row r="176" spans="1:18" ht="57.75" customHeight="1" x14ac:dyDescent="0.3">
      <c r="A176" s="12" t="str">
        <f>IF(TRIM(B176)="","","ATH-"&amp;TEXT(172,"0000"))</f>
        <v/>
      </c>
      <c r="B176" s="16"/>
      <c r="C176" s="17"/>
      <c r="D176" s="16"/>
      <c r="E176" s="16"/>
      <c r="F176" s="16"/>
      <c r="G176" s="16"/>
      <c r="H176" s="18"/>
      <c r="I176" s="12" t="str">
        <f t="shared" si="4"/>
        <v/>
      </c>
      <c r="J176" s="16"/>
      <c r="K176" s="12" t="str">
        <f t="shared" si="5"/>
        <v/>
      </c>
      <c r="L176" s="16"/>
      <c r="M176" s="16"/>
      <c r="N176" s="16"/>
      <c r="O176" s="16"/>
      <c r="P176" s="16"/>
      <c r="Q176" s="16"/>
      <c r="R176" s="16"/>
    </row>
    <row r="177" spans="1:18" ht="57.75" customHeight="1" x14ac:dyDescent="0.3">
      <c r="A177" s="12" t="str">
        <f>IF(TRIM(B177)="","","ATH-"&amp;TEXT(173,"0000"))</f>
        <v/>
      </c>
      <c r="B177" s="19"/>
      <c r="C177" s="20"/>
      <c r="D177" s="19"/>
      <c r="E177" s="19"/>
      <c r="F177" s="19"/>
      <c r="G177" s="19"/>
      <c r="H177" s="21"/>
      <c r="I177" s="12" t="str">
        <f t="shared" si="4"/>
        <v/>
      </c>
      <c r="J177" s="19"/>
      <c r="K177" s="12" t="str">
        <f t="shared" si="5"/>
        <v/>
      </c>
      <c r="L177" s="19"/>
      <c r="M177" s="19"/>
      <c r="N177" s="19"/>
      <c r="O177" s="19"/>
      <c r="P177" s="19"/>
      <c r="Q177" s="19"/>
      <c r="R177" s="19"/>
    </row>
    <row r="178" spans="1:18" ht="57.75" customHeight="1" x14ac:dyDescent="0.3">
      <c r="A178" s="12" t="str">
        <f>IF(TRIM(B178)="","","ATH-"&amp;TEXT(174,"0000"))</f>
        <v/>
      </c>
      <c r="B178" s="16"/>
      <c r="C178" s="17"/>
      <c r="D178" s="16"/>
      <c r="E178" s="16"/>
      <c r="F178" s="16"/>
      <c r="G178" s="16"/>
      <c r="H178" s="18"/>
      <c r="I178" s="12" t="str">
        <f t="shared" si="4"/>
        <v/>
      </c>
      <c r="J178" s="16"/>
      <c r="K178" s="12" t="str">
        <f t="shared" si="5"/>
        <v/>
      </c>
      <c r="L178" s="16"/>
      <c r="M178" s="16"/>
      <c r="N178" s="16"/>
      <c r="O178" s="16"/>
      <c r="P178" s="16"/>
      <c r="Q178" s="16"/>
      <c r="R178" s="16"/>
    </row>
    <row r="179" spans="1:18" ht="57.75" customHeight="1" x14ac:dyDescent="0.3">
      <c r="A179" s="12" t="str">
        <f>IF(TRIM(B179)="","","ATH-"&amp;TEXT(175,"0000"))</f>
        <v/>
      </c>
      <c r="B179" s="19"/>
      <c r="C179" s="20"/>
      <c r="D179" s="19"/>
      <c r="E179" s="19"/>
      <c r="F179" s="19"/>
      <c r="G179" s="19"/>
      <c r="H179" s="21"/>
      <c r="I179" s="12" t="str">
        <f t="shared" si="4"/>
        <v/>
      </c>
      <c r="J179" s="19"/>
      <c r="K179" s="12" t="str">
        <f t="shared" si="5"/>
        <v/>
      </c>
      <c r="L179" s="19"/>
      <c r="M179" s="19"/>
      <c r="N179" s="19"/>
      <c r="O179" s="19"/>
      <c r="P179" s="19"/>
      <c r="Q179" s="19"/>
      <c r="R179" s="19"/>
    </row>
    <row r="180" spans="1:18" ht="57.75" customHeight="1" x14ac:dyDescent="0.3">
      <c r="A180" s="12" t="str">
        <f>IF(TRIM(B180)="","","ATH-"&amp;TEXT(176,"0000"))</f>
        <v/>
      </c>
      <c r="B180" s="16"/>
      <c r="C180" s="17"/>
      <c r="D180" s="16"/>
      <c r="E180" s="16"/>
      <c r="F180" s="16"/>
      <c r="G180" s="16"/>
      <c r="H180" s="18"/>
      <c r="I180" s="12" t="str">
        <f t="shared" si="4"/>
        <v/>
      </c>
      <c r="J180" s="16"/>
      <c r="K180" s="12" t="str">
        <f t="shared" si="5"/>
        <v/>
      </c>
      <c r="L180" s="16"/>
      <c r="M180" s="16"/>
      <c r="N180" s="16"/>
      <c r="O180" s="16"/>
      <c r="P180" s="16"/>
      <c r="Q180" s="16"/>
      <c r="R180" s="16"/>
    </row>
    <row r="181" spans="1:18" ht="57.75" customHeight="1" x14ac:dyDescent="0.3">
      <c r="A181" s="12" t="str">
        <f>IF(TRIM(B181)="","","ATH-"&amp;TEXT(177,"0000"))</f>
        <v/>
      </c>
      <c r="B181" s="19"/>
      <c r="C181" s="20"/>
      <c r="D181" s="19"/>
      <c r="E181" s="19"/>
      <c r="F181" s="19"/>
      <c r="G181" s="19"/>
      <c r="H181" s="21"/>
      <c r="I181" s="12" t="str">
        <f t="shared" si="4"/>
        <v/>
      </c>
      <c r="J181" s="19"/>
      <c r="K181" s="12" t="str">
        <f t="shared" si="5"/>
        <v/>
      </c>
      <c r="L181" s="19"/>
      <c r="M181" s="19"/>
      <c r="N181" s="19"/>
      <c r="O181" s="19"/>
      <c r="P181" s="19"/>
      <c r="Q181" s="19"/>
      <c r="R181" s="19"/>
    </row>
    <row r="182" spans="1:18" ht="57.75" customHeight="1" x14ac:dyDescent="0.3">
      <c r="A182" s="12" t="str">
        <f>IF(TRIM(B182)="","","ATH-"&amp;TEXT(178,"0000"))</f>
        <v/>
      </c>
      <c r="B182" s="16"/>
      <c r="C182" s="17"/>
      <c r="D182" s="16"/>
      <c r="E182" s="16"/>
      <c r="F182" s="16"/>
      <c r="G182" s="16"/>
      <c r="H182" s="18"/>
      <c r="I182" s="12" t="str">
        <f t="shared" si="4"/>
        <v/>
      </c>
      <c r="J182" s="16"/>
      <c r="K182" s="12" t="str">
        <f t="shared" si="5"/>
        <v/>
      </c>
      <c r="L182" s="16"/>
      <c r="M182" s="16"/>
      <c r="N182" s="16"/>
      <c r="O182" s="16"/>
      <c r="P182" s="16"/>
      <c r="Q182" s="16"/>
      <c r="R182" s="16"/>
    </row>
    <row r="183" spans="1:18" ht="57.75" customHeight="1" x14ac:dyDescent="0.3">
      <c r="A183" s="12" t="str">
        <f>IF(TRIM(B183)="","","ATH-"&amp;TEXT(179,"0000"))</f>
        <v/>
      </c>
      <c r="B183" s="19"/>
      <c r="C183" s="20"/>
      <c r="D183" s="19"/>
      <c r="E183" s="19"/>
      <c r="F183" s="19"/>
      <c r="G183" s="19"/>
      <c r="H183" s="21"/>
      <c r="I183" s="12" t="str">
        <f t="shared" si="4"/>
        <v/>
      </c>
      <c r="J183" s="19"/>
      <c r="K183" s="12" t="str">
        <f t="shared" si="5"/>
        <v/>
      </c>
      <c r="L183" s="19"/>
      <c r="M183" s="19"/>
      <c r="N183" s="19"/>
      <c r="O183" s="19"/>
      <c r="P183" s="19"/>
      <c r="Q183" s="19"/>
      <c r="R183" s="19"/>
    </row>
    <row r="184" spans="1:18" ht="57.75" customHeight="1" x14ac:dyDescent="0.3">
      <c r="A184" s="12" t="str">
        <f>IF(TRIM(B184)="","","ATH-"&amp;TEXT(180,"0000"))</f>
        <v/>
      </c>
      <c r="B184" s="16"/>
      <c r="C184" s="17"/>
      <c r="D184" s="16"/>
      <c r="E184" s="16"/>
      <c r="F184" s="16"/>
      <c r="G184" s="16"/>
      <c r="H184" s="18"/>
      <c r="I184" s="12" t="str">
        <f t="shared" si="4"/>
        <v/>
      </c>
      <c r="J184" s="16"/>
      <c r="K184" s="12" t="str">
        <f t="shared" si="5"/>
        <v/>
      </c>
      <c r="L184" s="16"/>
      <c r="M184" s="16"/>
      <c r="N184" s="16"/>
      <c r="O184" s="16"/>
      <c r="P184" s="16"/>
      <c r="Q184" s="16"/>
      <c r="R184" s="16"/>
    </row>
    <row r="185" spans="1:18" ht="57.75" customHeight="1" x14ac:dyDescent="0.3">
      <c r="A185" s="12" t="str">
        <f>IF(TRIM(B185)="","","ATH-"&amp;TEXT(181,"0000"))</f>
        <v/>
      </c>
      <c r="B185" s="19"/>
      <c r="C185" s="20"/>
      <c r="D185" s="19"/>
      <c r="E185" s="19"/>
      <c r="F185" s="19"/>
      <c r="G185" s="19"/>
      <c r="H185" s="21"/>
      <c r="I185" s="12" t="str">
        <f t="shared" si="4"/>
        <v/>
      </c>
      <c r="J185" s="19"/>
      <c r="K185" s="12" t="str">
        <f t="shared" si="5"/>
        <v/>
      </c>
      <c r="L185" s="19"/>
      <c r="M185" s="19"/>
      <c r="N185" s="19"/>
      <c r="O185" s="19"/>
      <c r="P185" s="19"/>
      <c r="Q185" s="19"/>
      <c r="R185" s="19"/>
    </row>
    <row r="186" spans="1:18" ht="57.75" customHeight="1" x14ac:dyDescent="0.3">
      <c r="A186" s="12" t="str">
        <f>IF(TRIM(B186)="","","ATH-"&amp;TEXT(182,"0000"))</f>
        <v/>
      </c>
      <c r="B186" s="16"/>
      <c r="C186" s="17"/>
      <c r="D186" s="16"/>
      <c r="E186" s="16"/>
      <c r="F186" s="16"/>
      <c r="G186" s="16"/>
      <c r="H186" s="18"/>
      <c r="I186" s="12" t="str">
        <f t="shared" si="4"/>
        <v/>
      </c>
      <c r="J186" s="16"/>
      <c r="K186" s="12" t="str">
        <f t="shared" si="5"/>
        <v/>
      </c>
      <c r="L186" s="16"/>
      <c r="M186" s="16"/>
      <c r="N186" s="16"/>
      <c r="O186" s="16"/>
      <c r="P186" s="16"/>
      <c r="Q186" s="16"/>
      <c r="R186" s="16"/>
    </row>
    <row r="187" spans="1:18" ht="57.75" customHeight="1" x14ac:dyDescent="0.3">
      <c r="A187" s="12" t="str">
        <f>IF(TRIM(B187)="","","ATH-"&amp;TEXT(183,"0000"))</f>
        <v/>
      </c>
      <c r="B187" s="19"/>
      <c r="C187" s="20"/>
      <c r="D187" s="19"/>
      <c r="E187" s="19"/>
      <c r="F187" s="19"/>
      <c r="G187" s="19"/>
      <c r="H187" s="21"/>
      <c r="I187" s="12" t="str">
        <f t="shared" si="4"/>
        <v/>
      </c>
      <c r="J187" s="19"/>
      <c r="K187" s="12" t="str">
        <f t="shared" si="5"/>
        <v/>
      </c>
      <c r="L187" s="19"/>
      <c r="M187" s="19"/>
      <c r="N187" s="19"/>
      <c r="O187" s="19"/>
      <c r="P187" s="19"/>
      <c r="Q187" s="19"/>
      <c r="R187" s="19"/>
    </row>
    <row r="188" spans="1:18" ht="57.75" customHeight="1" x14ac:dyDescent="0.3">
      <c r="A188" s="12" t="str">
        <f>IF(TRIM(B188)="","","ATH-"&amp;TEXT(184,"0000"))</f>
        <v/>
      </c>
      <c r="B188" s="16"/>
      <c r="C188" s="17"/>
      <c r="D188" s="16"/>
      <c r="E188" s="16"/>
      <c r="F188" s="16"/>
      <c r="G188" s="16"/>
      <c r="H188" s="18"/>
      <c r="I188" s="12" t="str">
        <f t="shared" si="4"/>
        <v/>
      </c>
      <c r="J188" s="16"/>
      <c r="K188" s="12" t="str">
        <f t="shared" si="5"/>
        <v/>
      </c>
      <c r="L188" s="16"/>
      <c r="M188" s="16"/>
      <c r="N188" s="16"/>
      <c r="O188" s="16"/>
      <c r="P188" s="16"/>
      <c r="Q188" s="16"/>
      <c r="R188" s="16"/>
    </row>
    <row r="189" spans="1:18" ht="57.75" customHeight="1" x14ac:dyDescent="0.3">
      <c r="A189" s="12" t="str">
        <f>IF(TRIM(B189)="","","ATH-"&amp;TEXT(185,"0000"))</f>
        <v/>
      </c>
      <c r="B189" s="19"/>
      <c r="C189" s="20"/>
      <c r="D189" s="19"/>
      <c r="E189" s="19"/>
      <c r="F189" s="19"/>
      <c r="G189" s="19"/>
      <c r="H189" s="21"/>
      <c r="I189" s="12" t="str">
        <f t="shared" si="4"/>
        <v/>
      </c>
      <c r="J189" s="19"/>
      <c r="K189" s="12" t="str">
        <f t="shared" si="5"/>
        <v/>
      </c>
      <c r="L189" s="19"/>
      <c r="M189" s="19"/>
      <c r="N189" s="19"/>
      <c r="O189" s="19"/>
      <c r="P189" s="19"/>
      <c r="Q189" s="19"/>
      <c r="R189" s="19"/>
    </row>
    <row r="190" spans="1:18" ht="57.75" customHeight="1" x14ac:dyDescent="0.3">
      <c r="A190" s="12" t="str">
        <f>IF(TRIM(B190)="","","ATH-"&amp;TEXT(186,"0000"))</f>
        <v/>
      </c>
      <c r="B190" s="16"/>
      <c r="C190" s="17"/>
      <c r="D190" s="16"/>
      <c r="E190" s="16"/>
      <c r="F190" s="16"/>
      <c r="G190" s="16"/>
      <c r="H190" s="18"/>
      <c r="I190" s="12" t="str">
        <f t="shared" si="4"/>
        <v/>
      </c>
      <c r="J190" s="16"/>
      <c r="K190" s="12" t="str">
        <f t="shared" si="5"/>
        <v/>
      </c>
      <c r="L190" s="16"/>
      <c r="M190" s="16"/>
      <c r="N190" s="16"/>
      <c r="O190" s="16"/>
      <c r="P190" s="16"/>
      <c r="Q190" s="16"/>
      <c r="R190" s="16"/>
    </row>
    <row r="191" spans="1:18" ht="57.75" customHeight="1" x14ac:dyDescent="0.3">
      <c r="A191" s="12" t="str">
        <f>IF(TRIM(B191)="","","ATH-"&amp;TEXT(187,"0000"))</f>
        <v/>
      </c>
      <c r="B191" s="19"/>
      <c r="C191" s="20"/>
      <c r="D191" s="19"/>
      <c r="E191" s="19"/>
      <c r="F191" s="19"/>
      <c r="G191" s="19"/>
      <c r="H191" s="21"/>
      <c r="I191" s="12" t="str">
        <f t="shared" si="4"/>
        <v/>
      </c>
      <c r="J191" s="19"/>
      <c r="K191" s="12" t="str">
        <f t="shared" si="5"/>
        <v/>
      </c>
      <c r="L191" s="19"/>
      <c r="M191" s="19"/>
      <c r="N191" s="19"/>
      <c r="O191" s="19"/>
      <c r="P191" s="19"/>
      <c r="Q191" s="19"/>
      <c r="R191" s="19"/>
    </row>
    <row r="192" spans="1:18" ht="57.75" customHeight="1" x14ac:dyDescent="0.3">
      <c r="A192" s="12" t="str">
        <f>IF(TRIM(B192)="","","ATH-"&amp;TEXT(188,"0000"))</f>
        <v/>
      </c>
      <c r="B192" s="16"/>
      <c r="C192" s="17"/>
      <c r="D192" s="16"/>
      <c r="E192" s="16"/>
      <c r="F192" s="16"/>
      <c r="G192" s="16"/>
      <c r="H192" s="18"/>
      <c r="I192" s="12" t="str">
        <f t="shared" si="4"/>
        <v/>
      </c>
      <c r="J192" s="16"/>
      <c r="K192" s="12" t="str">
        <f t="shared" si="5"/>
        <v/>
      </c>
      <c r="L192" s="16"/>
      <c r="M192" s="16"/>
      <c r="N192" s="16"/>
      <c r="O192" s="16"/>
      <c r="P192" s="16"/>
      <c r="Q192" s="16"/>
      <c r="R192" s="16"/>
    </row>
    <row r="193" spans="1:18" ht="57.75" customHeight="1" x14ac:dyDescent="0.3">
      <c r="A193" s="12" t="str">
        <f>IF(TRIM(B193)="","","ATH-"&amp;TEXT(189,"0000"))</f>
        <v/>
      </c>
      <c r="B193" s="19"/>
      <c r="C193" s="20"/>
      <c r="D193" s="19"/>
      <c r="E193" s="19"/>
      <c r="F193" s="19"/>
      <c r="G193" s="19"/>
      <c r="H193" s="21"/>
      <c r="I193" s="12" t="str">
        <f t="shared" si="4"/>
        <v/>
      </c>
      <c r="J193" s="19"/>
      <c r="K193" s="12" t="str">
        <f t="shared" si="5"/>
        <v/>
      </c>
      <c r="L193" s="19"/>
      <c r="M193" s="19"/>
      <c r="N193" s="19"/>
      <c r="O193" s="19"/>
      <c r="P193" s="19"/>
      <c r="Q193" s="19"/>
      <c r="R193" s="19"/>
    </row>
    <row r="194" spans="1:18" ht="57.75" customHeight="1" x14ac:dyDescent="0.3">
      <c r="A194" s="12" t="str">
        <f>IF(TRIM(B194)="","","ATH-"&amp;TEXT(190,"0000"))</f>
        <v/>
      </c>
      <c r="B194" s="16"/>
      <c r="C194" s="17"/>
      <c r="D194" s="16"/>
      <c r="E194" s="16"/>
      <c r="F194" s="16"/>
      <c r="G194" s="16"/>
      <c r="H194" s="18"/>
      <c r="I194" s="12" t="str">
        <f t="shared" si="4"/>
        <v/>
      </c>
      <c r="J194" s="16"/>
      <c r="K194" s="12" t="str">
        <f t="shared" si="5"/>
        <v/>
      </c>
      <c r="L194" s="16"/>
      <c r="M194" s="16"/>
      <c r="N194" s="16"/>
      <c r="O194" s="16"/>
      <c r="P194" s="16"/>
      <c r="Q194" s="16"/>
      <c r="R194" s="16"/>
    </row>
    <row r="195" spans="1:18" ht="57.75" customHeight="1" x14ac:dyDescent="0.3">
      <c r="A195" s="12" t="str">
        <f>IF(TRIM(B195)="","","ATH-"&amp;TEXT(191,"0000"))</f>
        <v/>
      </c>
      <c r="B195" s="19"/>
      <c r="C195" s="20"/>
      <c r="D195" s="19"/>
      <c r="E195" s="19"/>
      <c r="F195" s="19"/>
      <c r="G195" s="19"/>
      <c r="H195" s="21"/>
      <c r="I195" s="12" t="str">
        <f t="shared" si="4"/>
        <v/>
      </c>
      <c r="J195" s="19"/>
      <c r="K195" s="12" t="str">
        <f t="shared" si="5"/>
        <v/>
      </c>
      <c r="L195" s="19"/>
      <c r="M195" s="19"/>
      <c r="N195" s="19"/>
      <c r="O195" s="19"/>
      <c r="P195" s="19"/>
      <c r="Q195" s="19"/>
      <c r="R195" s="19"/>
    </row>
    <row r="196" spans="1:18" ht="57.75" customHeight="1" x14ac:dyDescent="0.3">
      <c r="A196" s="12" t="str">
        <f>IF(TRIM(B196)="","","ATH-"&amp;TEXT(192,"0000"))</f>
        <v/>
      </c>
      <c r="B196" s="16"/>
      <c r="C196" s="17"/>
      <c r="D196" s="16"/>
      <c r="E196" s="16"/>
      <c r="F196" s="16"/>
      <c r="G196" s="16"/>
      <c r="H196" s="18"/>
      <c r="I196" s="12" t="str">
        <f t="shared" si="4"/>
        <v/>
      </c>
      <c r="J196" s="16"/>
      <c r="K196" s="12" t="str">
        <f t="shared" si="5"/>
        <v/>
      </c>
      <c r="L196" s="16"/>
      <c r="M196" s="16"/>
      <c r="N196" s="16"/>
      <c r="O196" s="16"/>
      <c r="P196" s="16"/>
      <c r="Q196" s="16"/>
      <c r="R196" s="16"/>
    </row>
    <row r="197" spans="1:18" ht="57.75" customHeight="1" x14ac:dyDescent="0.3">
      <c r="A197" s="12" t="str">
        <f>IF(TRIM(B197)="","","ATH-"&amp;TEXT(193,"0000"))</f>
        <v/>
      </c>
      <c r="B197" s="19"/>
      <c r="C197" s="20"/>
      <c r="D197" s="19"/>
      <c r="E197" s="19"/>
      <c r="F197" s="19"/>
      <c r="G197" s="19"/>
      <c r="H197" s="21"/>
      <c r="I197" s="12" t="str">
        <f t="shared" ref="I197:I260" si="6">IFERROR(IF(TRIM(H197)="","",VALUE(IF(ISNUMBER(FIND(" ",TRIM(H197))),LEFT(TRIM(H197),FIND(" ",TRIM(H197))-1),IF(ISNUMBER(VALUE(TRIM(H197))),TRIM(H197),LEFT(TRIM(H197),LEN(TRIM(H197))-1))))*IF(OR(ISNUMBER(SEARCH("Crore",H197)),ISNUMBER(SEARCH("Cr",H197))),10000000,IF(OR(ISNUMBER(SEARCH("Lakh",H197)),ISNUMBER(SEARCH("Lac",H197)),ISNUMBER(SEARCH("L",H197))),100000,IF(OR(ISNUMBER(SEARCH("Thousand",H197)),ISNUMBER(SEARCH("K",H197))),1000,1)))),"")</f>
        <v/>
      </c>
      <c r="J197" s="19"/>
      <c r="K197" s="12" t="str">
        <f t="shared" ref="K197:K260" si="7">IFERROR(IF(TRIM(J197)="","",ROUND(VALUE(IF(ISNUMBER(FIND(" ",TRIM(J197))),LEFT(TRIM(J197),FIND(" ",TRIM(J197))-1),IF(ISNUMBER(VALUE(TRIM(J197))),TRIM(J197),LEFT(TRIM(J197),LEN(TRIM(J197))-1))))*IF(ISNUMBER(SEARCH("Acre",J197)),4046.8564224,IF(ISNUMBER(SEARCH("Guntha",J197)),101.17141056,IF(ISNUMBER(SEARCH("Hectare",J197)),10000,IF(ISNUMBER(SEARCH("Sq Ft",J197)),0.09290304,IF(OR(ISNUMBER(SEARCH("Sq M",J197)),ISNUMBER(SEARCH("SQM",J197))),1,1))))),2)),"")</f>
        <v/>
      </c>
      <c r="L197" s="19"/>
      <c r="M197" s="19"/>
      <c r="N197" s="19"/>
      <c r="O197" s="19"/>
      <c r="P197" s="19"/>
      <c r="Q197" s="19"/>
      <c r="R197" s="19"/>
    </row>
    <row r="198" spans="1:18" ht="57.75" customHeight="1" x14ac:dyDescent="0.3">
      <c r="A198" s="12" t="str">
        <f>IF(TRIM(B198)="","","ATH-"&amp;TEXT(194,"0000"))</f>
        <v/>
      </c>
      <c r="B198" s="16"/>
      <c r="C198" s="17"/>
      <c r="D198" s="16"/>
      <c r="E198" s="16"/>
      <c r="F198" s="16"/>
      <c r="G198" s="16"/>
      <c r="H198" s="18"/>
      <c r="I198" s="12" t="str">
        <f t="shared" si="6"/>
        <v/>
      </c>
      <c r="J198" s="16"/>
      <c r="K198" s="12" t="str">
        <f t="shared" si="7"/>
        <v/>
      </c>
      <c r="L198" s="16"/>
      <c r="M198" s="16"/>
      <c r="N198" s="16"/>
      <c r="O198" s="16"/>
      <c r="P198" s="16"/>
      <c r="Q198" s="16"/>
      <c r="R198" s="16"/>
    </row>
    <row r="199" spans="1:18" ht="57.75" customHeight="1" x14ac:dyDescent="0.3">
      <c r="A199" s="12" t="str">
        <f>IF(TRIM(B199)="","","ATH-"&amp;TEXT(195,"0000"))</f>
        <v/>
      </c>
      <c r="B199" s="19"/>
      <c r="C199" s="20"/>
      <c r="D199" s="19"/>
      <c r="E199" s="19"/>
      <c r="F199" s="19"/>
      <c r="G199" s="19"/>
      <c r="H199" s="21"/>
      <c r="I199" s="12" t="str">
        <f t="shared" si="6"/>
        <v/>
      </c>
      <c r="J199" s="19"/>
      <c r="K199" s="12" t="str">
        <f t="shared" si="7"/>
        <v/>
      </c>
      <c r="L199" s="19"/>
      <c r="M199" s="19"/>
      <c r="N199" s="19"/>
      <c r="O199" s="19"/>
      <c r="P199" s="19"/>
      <c r="Q199" s="19"/>
      <c r="R199" s="19"/>
    </row>
    <row r="200" spans="1:18" ht="57.75" customHeight="1" x14ac:dyDescent="0.3">
      <c r="A200" s="12" t="str">
        <f>IF(TRIM(B200)="","","ATH-"&amp;TEXT(196,"0000"))</f>
        <v/>
      </c>
      <c r="B200" s="16"/>
      <c r="C200" s="17"/>
      <c r="D200" s="16"/>
      <c r="E200" s="16"/>
      <c r="F200" s="16"/>
      <c r="G200" s="16"/>
      <c r="H200" s="18"/>
      <c r="I200" s="12" t="str">
        <f t="shared" si="6"/>
        <v/>
      </c>
      <c r="J200" s="16"/>
      <c r="K200" s="12" t="str">
        <f t="shared" si="7"/>
        <v/>
      </c>
      <c r="L200" s="16"/>
      <c r="M200" s="16"/>
      <c r="N200" s="16"/>
      <c r="O200" s="16"/>
      <c r="P200" s="16"/>
      <c r="Q200" s="16"/>
      <c r="R200" s="16"/>
    </row>
    <row r="201" spans="1:18" ht="57.75" customHeight="1" x14ac:dyDescent="0.3">
      <c r="A201" s="12" t="str">
        <f>IF(TRIM(B201)="","","ATH-"&amp;TEXT(197,"0000"))</f>
        <v/>
      </c>
      <c r="B201" s="19"/>
      <c r="C201" s="20"/>
      <c r="D201" s="19"/>
      <c r="E201" s="19"/>
      <c r="F201" s="19"/>
      <c r="G201" s="19"/>
      <c r="H201" s="21"/>
      <c r="I201" s="12" t="str">
        <f t="shared" si="6"/>
        <v/>
      </c>
      <c r="J201" s="19"/>
      <c r="K201" s="12" t="str">
        <f t="shared" si="7"/>
        <v/>
      </c>
      <c r="L201" s="19"/>
      <c r="M201" s="19"/>
      <c r="N201" s="19"/>
      <c r="O201" s="19"/>
      <c r="P201" s="19"/>
      <c r="Q201" s="19"/>
      <c r="R201" s="19"/>
    </row>
    <row r="202" spans="1:18" ht="57.75" customHeight="1" x14ac:dyDescent="0.3">
      <c r="A202" s="12" t="str">
        <f>IF(TRIM(B202)="","","ATH-"&amp;TEXT(198,"0000"))</f>
        <v/>
      </c>
      <c r="B202" s="16"/>
      <c r="C202" s="17"/>
      <c r="D202" s="16"/>
      <c r="E202" s="16"/>
      <c r="F202" s="16"/>
      <c r="G202" s="16"/>
      <c r="H202" s="18"/>
      <c r="I202" s="12" t="str">
        <f t="shared" si="6"/>
        <v/>
      </c>
      <c r="J202" s="16"/>
      <c r="K202" s="12" t="str">
        <f t="shared" si="7"/>
        <v/>
      </c>
      <c r="L202" s="16"/>
      <c r="M202" s="16"/>
      <c r="N202" s="16"/>
      <c r="O202" s="16"/>
      <c r="P202" s="16"/>
      <c r="Q202" s="16"/>
      <c r="R202" s="16"/>
    </row>
    <row r="203" spans="1:18" ht="57.75" customHeight="1" x14ac:dyDescent="0.3">
      <c r="A203" s="12" t="str">
        <f>IF(TRIM(B203)="","","ATH-"&amp;TEXT(199,"0000"))</f>
        <v/>
      </c>
      <c r="B203" s="19"/>
      <c r="C203" s="20"/>
      <c r="D203" s="19"/>
      <c r="E203" s="19"/>
      <c r="F203" s="19"/>
      <c r="G203" s="19"/>
      <c r="H203" s="21"/>
      <c r="I203" s="12" t="str">
        <f t="shared" si="6"/>
        <v/>
      </c>
      <c r="J203" s="19"/>
      <c r="K203" s="12" t="str">
        <f t="shared" si="7"/>
        <v/>
      </c>
      <c r="L203" s="19"/>
      <c r="M203" s="19"/>
      <c r="N203" s="19"/>
      <c r="O203" s="19"/>
      <c r="P203" s="19"/>
      <c r="Q203" s="19"/>
      <c r="R203" s="19"/>
    </row>
    <row r="204" spans="1:18" ht="57.75" customHeight="1" x14ac:dyDescent="0.3">
      <c r="A204" s="12" t="str">
        <f>IF(TRIM(B204)="","","ATH-"&amp;TEXT(200,"0000"))</f>
        <v/>
      </c>
      <c r="B204" s="16"/>
      <c r="C204" s="17"/>
      <c r="D204" s="16"/>
      <c r="E204" s="16"/>
      <c r="F204" s="16"/>
      <c r="G204" s="16"/>
      <c r="H204" s="18"/>
      <c r="I204" s="12" t="str">
        <f t="shared" si="6"/>
        <v/>
      </c>
      <c r="J204" s="16"/>
      <c r="K204" s="12" t="str">
        <f t="shared" si="7"/>
        <v/>
      </c>
      <c r="L204" s="16"/>
      <c r="M204" s="16"/>
      <c r="N204" s="16"/>
      <c r="O204" s="16"/>
      <c r="P204" s="16"/>
      <c r="Q204" s="16"/>
      <c r="R204" s="16"/>
    </row>
    <row r="205" spans="1:18" ht="57.75" customHeight="1" x14ac:dyDescent="0.3">
      <c r="A205" s="12" t="str">
        <f>IF(TRIM(B205)="","","ATH-"&amp;TEXT(201,"0000"))</f>
        <v/>
      </c>
      <c r="B205" s="19"/>
      <c r="C205" s="20"/>
      <c r="D205" s="19"/>
      <c r="E205" s="19"/>
      <c r="F205" s="19"/>
      <c r="G205" s="19"/>
      <c r="H205" s="21"/>
      <c r="I205" s="12" t="str">
        <f t="shared" si="6"/>
        <v/>
      </c>
      <c r="J205" s="19"/>
      <c r="K205" s="12" t="str">
        <f t="shared" si="7"/>
        <v/>
      </c>
      <c r="L205" s="19"/>
      <c r="M205" s="19"/>
      <c r="N205" s="19"/>
      <c r="O205" s="19"/>
      <c r="P205" s="19"/>
      <c r="Q205" s="19"/>
      <c r="R205" s="19"/>
    </row>
  </sheetData>
  <autoFilter ref="A4:R205" xr:uid="{00000000-0009-0000-0000-000000000000}"/>
  <mergeCells count="3">
    <mergeCell ref="A1:R1"/>
    <mergeCell ref="A2:R2"/>
    <mergeCell ref="A3:R3"/>
  </mergeCells>
  <conditionalFormatting sqref="B6:F205">
    <cfRule type="expression" dxfId="2" priority="2">
      <formula>AND(COUNTA($B6:$R6)&gt;0,B6="")</formula>
    </cfRule>
  </conditionalFormatting>
  <conditionalFormatting sqref="H6:H205">
    <cfRule type="expression" dxfId="1" priority="7">
      <formula>AND(COUNTA($B6:$R6)&gt;0,H6="")</formula>
    </cfRule>
  </conditionalFormatting>
  <conditionalFormatting sqref="J6:J205">
    <cfRule type="expression" dxfId="0" priority="8">
      <formula>AND(COUNTA($B6:$R6)&gt;0,J6="")</formula>
    </cfRule>
  </conditionalFormatting>
  <dataValidations count="6">
    <dataValidation type="list" showErrorMessage="1" errorTitle="Invalid Property Type" error="Please choose one of: Agricultural Land, Farmhouse, Commercial, Investment." promptTitle="Property Type" prompt="Select from the list." sqref="D5:D205" xr:uid="{00000000-0002-0000-0000-000000000000}">
      <formula1>"Agricultural Land,Farmhouse,Commercial,Investment"</formula1>
      <formula2>0</formula2>
    </dataValidation>
    <dataValidation type="list" allowBlank="1" showErrorMessage="1" errorTitle="Invalid Value" error="Please choose Yes or No." promptTitle="Featured" prompt="Select Yes or No." sqref="M5:M205" xr:uid="{00000000-0002-0000-0000-000001000000}">
      <formula1>"Yes,No"</formula1>
      <formula2>0</formula2>
    </dataValidation>
    <dataValidation type="list" allowBlank="1" showErrorMessage="1" errorTitle="Invalid Status" error="Please choose one of: Available, Sold, Reserved, On Hold." promptTitle="Status (optional)" prompt="Select from the list. Leave blank if unknown." sqref="L5:L205" xr:uid="{00000000-0002-0000-0000-000002000000}">
      <formula1>"Available,Sold,Reserved,On Hold"</formula1>
      <formula2>0</formula2>
    </dataValidation>
    <dataValidation type="decimal" allowBlank="1" showErrorMessage="1" errorTitle="Invalid Latitude" error="Latitude must be between -90 and 90." sqref="N5:N205" xr:uid="{00000000-0002-0000-0000-000003000000}">
      <formula1>-90</formula1>
      <formula2>90</formula2>
    </dataValidation>
    <dataValidation type="decimal" allowBlank="1" showErrorMessage="1" errorTitle="Invalid Longitude" error="Longitude must be between -180 and 180." sqref="O5:O205" xr:uid="{00000000-0002-0000-0000-000004000000}">
      <formula1>-180</formula1>
      <formula2>180</formula2>
    </dataValidation>
    <dataValidation type="custom" allowBlank="1" showErrorMessage="1" errorTitle="Remove the ₹ symbol" error="Type the price without ₹ (e.g. '50 Lakh' or '2 Cr') — the symbol is added automatically." promptTitle="Price Display" prompt="e.g. 50 Lakh, 1.25 Crore, 2 Cr, 25 Lac, 75 Thousand, 100K" sqref="H5:H205" xr:uid="{00000000-0002-0000-0000-000005000000}">
      <formula1>LEFT(TRIM(H5),1)&lt;&gt;"₹"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2E30"/>
  </sheetPr>
  <dimension ref="A1:F59"/>
  <sheetViews>
    <sheetView showGridLines="0" zoomScaleNormal="100" workbookViewId="0"/>
  </sheetViews>
  <sheetFormatPr defaultColWidth="8.6640625" defaultRowHeight="14.4" x14ac:dyDescent="0.3"/>
  <cols>
    <col min="1" max="1" width="24" customWidth="1"/>
    <col min="2" max="2" width="60" customWidth="1"/>
    <col min="3" max="6" width="20" customWidth="1"/>
  </cols>
  <sheetData>
    <row r="1" spans="1:6" ht="33.75" customHeight="1" x14ac:dyDescent="0.3">
      <c r="A1" s="9" t="s">
        <v>34</v>
      </c>
      <c r="B1" s="9"/>
      <c r="C1" s="9"/>
      <c r="D1" s="9"/>
      <c r="E1" s="9"/>
      <c r="F1" s="9"/>
    </row>
    <row r="4" spans="1:6" ht="21.75" customHeight="1" x14ac:dyDescent="0.3">
      <c r="A4" s="6" t="s">
        <v>35</v>
      </c>
      <c r="B4" s="6"/>
      <c r="C4" s="6"/>
      <c r="D4" s="6"/>
      <c r="E4" s="6"/>
      <c r="F4" s="6"/>
    </row>
    <row r="5" spans="1:6" ht="31.5" customHeight="1" x14ac:dyDescent="0.3">
      <c r="A5" s="5" t="s">
        <v>36</v>
      </c>
      <c r="B5" s="5"/>
      <c r="C5" s="5"/>
      <c r="D5" s="5"/>
      <c r="E5" s="5"/>
      <c r="F5" s="5"/>
    </row>
    <row r="7" spans="1:6" ht="21.75" customHeight="1" x14ac:dyDescent="0.3">
      <c r="A7" s="6" t="s">
        <v>37</v>
      </c>
      <c r="B7" s="6"/>
      <c r="C7" s="6"/>
      <c r="D7" s="6"/>
      <c r="E7" s="6"/>
      <c r="F7" s="6"/>
    </row>
    <row r="8" spans="1:6" ht="31.5" customHeight="1" x14ac:dyDescent="0.3">
      <c r="A8" s="22" t="s">
        <v>38</v>
      </c>
      <c r="B8" s="4" t="s">
        <v>39</v>
      </c>
      <c r="C8" s="4"/>
      <c r="D8" s="4"/>
      <c r="E8" s="4"/>
      <c r="F8" s="4"/>
    </row>
    <row r="9" spans="1:6" ht="31.5" customHeight="1" x14ac:dyDescent="0.3">
      <c r="A9" s="23" t="s">
        <v>40</v>
      </c>
      <c r="B9" s="5" t="s">
        <v>41</v>
      </c>
      <c r="C9" s="5"/>
      <c r="D9" s="5"/>
      <c r="E9" s="5"/>
      <c r="F9" s="5"/>
    </row>
    <row r="10" spans="1:6" ht="31.5" customHeight="1" x14ac:dyDescent="0.3">
      <c r="A10" s="22" t="s">
        <v>42</v>
      </c>
      <c r="B10" s="4" t="s">
        <v>43</v>
      </c>
      <c r="C10" s="4"/>
      <c r="D10" s="4"/>
      <c r="E10" s="4"/>
      <c r="F10" s="4"/>
    </row>
    <row r="11" spans="1:6" ht="31.5" customHeight="1" x14ac:dyDescent="0.3">
      <c r="A11" s="23" t="s">
        <v>44</v>
      </c>
      <c r="B11" s="5" t="s">
        <v>45</v>
      </c>
      <c r="C11" s="5"/>
      <c r="D11" s="5"/>
      <c r="E11" s="5"/>
      <c r="F11" s="5"/>
    </row>
    <row r="12" spans="1:6" ht="31.5" customHeight="1" x14ac:dyDescent="0.3">
      <c r="A12" s="22" t="s">
        <v>46</v>
      </c>
      <c r="B12" s="4" t="s">
        <v>47</v>
      </c>
      <c r="C12" s="4"/>
      <c r="D12" s="4"/>
      <c r="E12" s="4"/>
      <c r="F12" s="4"/>
    </row>
    <row r="13" spans="1:6" ht="31.5" customHeight="1" x14ac:dyDescent="0.3">
      <c r="A13" s="23" t="s">
        <v>48</v>
      </c>
      <c r="B13" s="5" t="s">
        <v>49</v>
      </c>
      <c r="C13" s="5"/>
      <c r="D13" s="5"/>
      <c r="E13" s="5"/>
      <c r="F13" s="5"/>
    </row>
    <row r="14" spans="1:6" ht="31.5" customHeight="1" x14ac:dyDescent="0.3">
      <c r="A14" s="22" t="s">
        <v>50</v>
      </c>
      <c r="B14" s="4" t="s">
        <v>51</v>
      </c>
      <c r="C14" s="4"/>
      <c r="D14" s="4"/>
      <c r="E14" s="4"/>
      <c r="F14" s="4"/>
    </row>
    <row r="15" spans="1:6" ht="31.5" customHeight="1" x14ac:dyDescent="0.3">
      <c r="A15" s="5" t="s">
        <v>52</v>
      </c>
      <c r="B15" s="5"/>
      <c r="C15" s="5"/>
      <c r="D15" s="5"/>
      <c r="E15" s="5"/>
      <c r="F15" s="5"/>
    </row>
    <row r="17" spans="1:6" ht="21.75" customHeight="1" x14ac:dyDescent="0.3">
      <c r="A17" s="6" t="s">
        <v>53</v>
      </c>
      <c r="B17" s="6"/>
      <c r="C17" s="6"/>
      <c r="D17" s="6"/>
      <c r="E17" s="6"/>
      <c r="F17" s="6"/>
    </row>
    <row r="18" spans="1:6" ht="31.5" customHeight="1" x14ac:dyDescent="0.3">
      <c r="A18" s="22" t="s">
        <v>9</v>
      </c>
      <c r="B18" s="4" t="s">
        <v>54</v>
      </c>
      <c r="C18" s="4"/>
      <c r="D18" s="4"/>
      <c r="E18" s="4"/>
      <c r="F18" s="4"/>
    </row>
    <row r="19" spans="1:6" ht="31.5" customHeight="1" x14ac:dyDescent="0.3">
      <c r="A19" s="23" t="s">
        <v>14</v>
      </c>
      <c r="B19" s="5" t="s">
        <v>55</v>
      </c>
      <c r="C19" s="5"/>
      <c r="D19" s="5"/>
      <c r="E19" s="5"/>
      <c r="F19" s="5"/>
    </row>
    <row r="20" spans="1:6" ht="31.5" customHeight="1" x14ac:dyDescent="0.3">
      <c r="A20" s="22" t="s">
        <v>15</v>
      </c>
      <c r="B20" s="4" t="s">
        <v>56</v>
      </c>
      <c r="C20" s="4"/>
      <c r="D20" s="4"/>
      <c r="E20" s="4"/>
      <c r="F20" s="4"/>
    </row>
    <row r="21" spans="1:6" ht="31.5" customHeight="1" x14ac:dyDescent="0.3">
      <c r="A21" s="23" t="s">
        <v>57</v>
      </c>
      <c r="B21" s="5" t="s">
        <v>58</v>
      </c>
      <c r="C21" s="5"/>
      <c r="D21" s="5"/>
      <c r="E21" s="5"/>
      <c r="F21" s="5"/>
    </row>
    <row r="22" spans="1:6" ht="31.5" customHeight="1" x14ac:dyDescent="0.3">
      <c r="A22" s="22" t="s">
        <v>18</v>
      </c>
      <c r="B22" s="4" t="s">
        <v>59</v>
      </c>
      <c r="C22" s="4"/>
      <c r="D22" s="4"/>
      <c r="E22" s="4"/>
      <c r="F22" s="4"/>
    </row>
    <row r="23" spans="1:6" ht="31.5" customHeight="1" x14ac:dyDescent="0.3">
      <c r="A23" s="23" t="s">
        <v>19</v>
      </c>
      <c r="B23" s="5" t="s">
        <v>60</v>
      </c>
      <c r="C23" s="5"/>
      <c r="D23" s="5"/>
      <c r="E23" s="5"/>
      <c r="F23" s="5"/>
    </row>
    <row r="24" spans="1:6" ht="31.5" customHeight="1" x14ac:dyDescent="0.3">
      <c r="A24" s="22" t="s">
        <v>20</v>
      </c>
      <c r="B24" s="4" t="s">
        <v>61</v>
      </c>
      <c r="C24" s="4"/>
      <c r="D24" s="4"/>
      <c r="E24" s="4"/>
      <c r="F24" s="4"/>
    </row>
    <row r="26" spans="1:6" ht="21.75" customHeight="1" x14ac:dyDescent="0.3">
      <c r="A26" s="6" t="s">
        <v>62</v>
      </c>
      <c r="B26" s="6"/>
      <c r="C26" s="6"/>
      <c r="D26" s="6"/>
      <c r="E26" s="6"/>
      <c r="F26" s="6"/>
    </row>
    <row r="27" spans="1:6" ht="31.5" customHeight="1" x14ac:dyDescent="0.3">
      <c r="A27" s="23" t="s">
        <v>63</v>
      </c>
      <c r="B27" s="5" t="s">
        <v>64</v>
      </c>
      <c r="C27" s="5"/>
      <c r="D27" s="5"/>
      <c r="E27" s="5"/>
      <c r="F27" s="5"/>
    </row>
    <row r="28" spans="1:6" ht="31.5" customHeight="1" x14ac:dyDescent="0.3">
      <c r="A28" s="22" t="s">
        <v>65</v>
      </c>
      <c r="B28" s="4" t="s">
        <v>66</v>
      </c>
      <c r="C28" s="4"/>
      <c r="D28" s="4"/>
      <c r="E28" s="4"/>
      <c r="F28" s="4"/>
    </row>
    <row r="29" spans="1:6" ht="31.5" customHeight="1" x14ac:dyDescent="0.3">
      <c r="A29" s="23" t="s">
        <v>67</v>
      </c>
      <c r="B29" s="5" t="s">
        <v>68</v>
      </c>
      <c r="C29" s="5"/>
      <c r="D29" s="5"/>
      <c r="E29" s="5"/>
      <c r="F29" s="5"/>
    </row>
    <row r="30" spans="1:6" ht="31.5" customHeight="1" x14ac:dyDescent="0.3">
      <c r="A30" s="4" t="s">
        <v>69</v>
      </c>
      <c r="B30" s="4"/>
      <c r="C30" s="4"/>
      <c r="D30" s="4"/>
      <c r="E30" s="4"/>
      <c r="F30" s="4"/>
    </row>
    <row r="32" spans="1:6" ht="21.75" customHeight="1" x14ac:dyDescent="0.3">
      <c r="A32" s="6" t="s">
        <v>70</v>
      </c>
      <c r="B32" s="6"/>
      <c r="C32" s="6"/>
      <c r="D32" s="6"/>
      <c r="E32" s="6"/>
      <c r="F32" s="6"/>
    </row>
    <row r="33" spans="1:6" ht="31.5" customHeight="1" x14ac:dyDescent="0.3">
      <c r="A33" s="5" t="s">
        <v>71</v>
      </c>
      <c r="B33" s="5"/>
      <c r="C33" s="5"/>
      <c r="D33" s="5"/>
      <c r="E33" s="5"/>
      <c r="F33" s="5"/>
    </row>
    <row r="34" spans="1:6" ht="31.5" customHeight="1" x14ac:dyDescent="0.3">
      <c r="A34" s="4" t="s">
        <v>72</v>
      </c>
      <c r="B34" s="4"/>
      <c r="C34" s="4"/>
      <c r="D34" s="4"/>
      <c r="E34" s="4"/>
      <c r="F34" s="4"/>
    </row>
    <row r="35" spans="1:6" ht="19.5" customHeight="1" x14ac:dyDescent="0.3">
      <c r="A35" s="24" t="s">
        <v>73</v>
      </c>
      <c r="B35" s="24" t="s">
        <v>74</v>
      </c>
      <c r="C35" s="3" t="s">
        <v>75</v>
      </c>
      <c r="D35" s="3"/>
      <c r="E35" s="3"/>
      <c r="F35" s="3"/>
    </row>
    <row r="36" spans="1:6" ht="18" customHeight="1" x14ac:dyDescent="0.3">
      <c r="A36" s="25" t="s">
        <v>27</v>
      </c>
      <c r="B36" s="25" t="s">
        <v>76</v>
      </c>
      <c r="C36" s="2" t="s">
        <v>77</v>
      </c>
      <c r="D36" s="2"/>
      <c r="E36" s="2"/>
      <c r="F36" s="2"/>
    </row>
    <row r="37" spans="1:6" ht="18" customHeight="1" x14ac:dyDescent="0.3">
      <c r="A37" s="26" t="s">
        <v>78</v>
      </c>
      <c r="B37" s="26" t="s">
        <v>79</v>
      </c>
      <c r="C37" s="1" t="s">
        <v>80</v>
      </c>
      <c r="D37" s="1"/>
      <c r="E37" s="1"/>
      <c r="F37" s="1"/>
    </row>
    <row r="38" spans="1:6" ht="18" customHeight="1" x14ac:dyDescent="0.3">
      <c r="A38" s="25" t="s">
        <v>81</v>
      </c>
      <c r="B38" s="25" t="s">
        <v>82</v>
      </c>
      <c r="C38" s="2" t="s">
        <v>83</v>
      </c>
      <c r="D38" s="2"/>
      <c r="E38" s="2"/>
      <c r="F38" s="2"/>
    </row>
    <row r="39" spans="1:6" ht="18" customHeight="1" x14ac:dyDescent="0.3">
      <c r="A39" s="26" t="s">
        <v>84</v>
      </c>
      <c r="B39" s="26" t="s">
        <v>85</v>
      </c>
      <c r="C39" s="1" t="s">
        <v>86</v>
      </c>
      <c r="D39" s="1"/>
      <c r="E39" s="1"/>
      <c r="F39" s="1"/>
    </row>
    <row r="40" spans="1:6" ht="18" customHeight="1" x14ac:dyDescent="0.3">
      <c r="A40" s="25" t="s">
        <v>87</v>
      </c>
      <c r="B40" s="25" t="s">
        <v>88</v>
      </c>
      <c r="C40" s="2" t="s">
        <v>89</v>
      </c>
      <c r="D40" s="2"/>
      <c r="E40" s="2"/>
      <c r="F40" s="2"/>
    </row>
    <row r="41" spans="1:6" ht="18" customHeight="1" x14ac:dyDescent="0.3">
      <c r="A41" s="26" t="s">
        <v>90</v>
      </c>
      <c r="B41" s="26" t="s">
        <v>91</v>
      </c>
      <c r="C41" s="1" t="s">
        <v>92</v>
      </c>
      <c r="D41" s="1"/>
      <c r="E41" s="1"/>
      <c r="F41" s="1"/>
    </row>
    <row r="42" spans="1:6" ht="18" customHeight="1" x14ac:dyDescent="0.3">
      <c r="A42" s="25" t="s">
        <v>93</v>
      </c>
      <c r="B42" s="25" t="s">
        <v>94</v>
      </c>
      <c r="C42" s="2" t="s">
        <v>77</v>
      </c>
      <c r="D42" s="2"/>
      <c r="E42" s="2"/>
      <c r="F42" s="2"/>
    </row>
    <row r="44" spans="1:6" ht="21.75" customHeight="1" x14ac:dyDescent="0.3">
      <c r="A44" s="6" t="s">
        <v>95</v>
      </c>
      <c r="B44" s="6"/>
      <c r="C44" s="6"/>
      <c r="D44" s="6"/>
      <c r="E44" s="6"/>
      <c r="F44" s="6"/>
    </row>
    <row r="45" spans="1:6" ht="31.5" customHeight="1" x14ac:dyDescent="0.3">
      <c r="A45" s="5" t="s">
        <v>96</v>
      </c>
      <c r="B45" s="5"/>
      <c r="C45" s="5"/>
      <c r="D45" s="5"/>
      <c r="E45" s="5"/>
      <c r="F45" s="5"/>
    </row>
    <row r="46" spans="1:6" ht="19.5" customHeight="1" x14ac:dyDescent="0.3">
      <c r="A46" s="24" t="s">
        <v>97</v>
      </c>
      <c r="B46" s="24" t="s">
        <v>98</v>
      </c>
      <c r="C46" s="3" t="s">
        <v>99</v>
      </c>
      <c r="D46" s="3"/>
      <c r="E46" s="3"/>
      <c r="F46" s="3"/>
    </row>
    <row r="47" spans="1:6" ht="18" customHeight="1" x14ac:dyDescent="0.3">
      <c r="A47" s="26" t="s">
        <v>100</v>
      </c>
      <c r="B47" s="26" t="s">
        <v>101</v>
      </c>
      <c r="C47" s="1" t="s">
        <v>102</v>
      </c>
      <c r="D47" s="1"/>
      <c r="E47" s="1"/>
      <c r="F47" s="1"/>
    </row>
    <row r="48" spans="1:6" ht="18" customHeight="1" x14ac:dyDescent="0.3">
      <c r="A48" s="25" t="s">
        <v>103</v>
      </c>
      <c r="B48" s="25" t="s">
        <v>104</v>
      </c>
      <c r="C48" s="2" t="s">
        <v>105</v>
      </c>
      <c r="D48" s="2"/>
      <c r="E48" s="2"/>
      <c r="F48" s="2"/>
    </row>
    <row r="49" spans="1:6" ht="18" customHeight="1" x14ac:dyDescent="0.3">
      <c r="A49" s="26" t="s">
        <v>106</v>
      </c>
      <c r="B49" s="26" t="s">
        <v>107</v>
      </c>
      <c r="C49" s="1" t="s">
        <v>108</v>
      </c>
      <c r="D49" s="1"/>
      <c r="E49" s="1"/>
      <c r="F49" s="1"/>
    </row>
    <row r="50" spans="1:6" ht="18" customHeight="1" x14ac:dyDescent="0.3">
      <c r="A50" s="25" t="s">
        <v>109</v>
      </c>
      <c r="B50" s="25" t="s">
        <v>110</v>
      </c>
      <c r="C50" s="2" t="s">
        <v>111</v>
      </c>
      <c r="D50" s="2"/>
      <c r="E50" s="2"/>
      <c r="F50" s="2"/>
    </row>
    <row r="51" spans="1:6" ht="18" customHeight="1" x14ac:dyDescent="0.3">
      <c r="A51" s="26" t="s">
        <v>112</v>
      </c>
      <c r="B51" s="26" t="s">
        <v>113</v>
      </c>
      <c r="C51" s="1" t="s">
        <v>114</v>
      </c>
      <c r="D51" s="1"/>
      <c r="E51" s="1"/>
      <c r="F51" s="1"/>
    </row>
    <row r="53" spans="1:6" ht="21.75" customHeight="1" x14ac:dyDescent="0.3">
      <c r="A53" s="6" t="s">
        <v>115</v>
      </c>
      <c r="B53" s="6"/>
      <c r="C53" s="6"/>
      <c r="D53" s="6"/>
      <c r="E53" s="6"/>
      <c r="F53" s="6"/>
    </row>
    <row r="54" spans="1:6" ht="31.5" customHeight="1" x14ac:dyDescent="0.3">
      <c r="A54" s="22" t="s">
        <v>42</v>
      </c>
      <c r="B54" s="4" t="s">
        <v>116</v>
      </c>
      <c r="C54" s="4"/>
      <c r="D54" s="4"/>
      <c r="E54" s="4"/>
      <c r="F54" s="4"/>
    </row>
    <row r="55" spans="1:6" ht="31.5" customHeight="1" x14ac:dyDescent="0.3">
      <c r="A55" s="23" t="s">
        <v>14</v>
      </c>
      <c r="B55" s="5" t="s">
        <v>117</v>
      </c>
      <c r="C55" s="5"/>
      <c r="D55" s="5"/>
      <c r="E55" s="5"/>
      <c r="F55" s="5"/>
    </row>
    <row r="56" spans="1:6" ht="31.5" customHeight="1" x14ac:dyDescent="0.3">
      <c r="A56" s="22" t="s">
        <v>15</v>
      </c>
      <c r="B56" s="4" t="s">
        <v>118</v>
      </c>
      <c r="C56" s="4"/>
      <c r="D56" s="4"/>
      <c r="E56" s="4"/>
      <c r="F56" s="4"/>
    </row>
    <row r="58" spans="1:6" ht="21.75" customHeight="1" x14ac:dyDescent="0.3">
      <c r="A58" s="6" t="s">
        <v>119</v>
      </c>
      <c r="B58" s="6"/>
      <c r="C58" s="6"/>
      <c r="D58" s="6"/>
      <c r="E58" s="6"/>
      <c r="F58" s="6"/>
    </row>
    <row r="59" spans="1:6" ht="90" customHeight="1" x14ac:dyDescent="0.3">
      <c r="A59" s="5" t="s">
        <v>120</v>
      </c>
      <c r="B59" s="5"/>
      <c r="C59" s="5"/>
      <c r="D59" s="5"/>
      <c r="E59" s="5"/>
      <c r="F59" s="5"/>
    </row>
  </sheetData>
  <mergeCells count="50">
    <mergeCell ref="B54:F54"/>
    <mergeCell ref="B55:F55"/>
    <mergeCell ref="B56:F56"/>
    <mergeCell ref="A58:F58"/>
    <mergeCell ref="A59:F59"/>
    <mergeCell ref="C48:F48"/>
    <mergeCell ref="C49:F49"/>
    <mergeCell ref="C50:F50"/>
    <mergeCell ref="C51:F51"/>
    <mergeCell ref="A53:F53"/>
    <mergeCell ref="C42:F42"/>
    <mergeCell ref="A44:F44"/>
    <mergeCell ref="A45:F45"/>
    <mergeCell ref="C46:F46"/>
    <mergeCell ref="C47:F47"/>
    <mergeCell ref="C37:F37"/>
    <mergeCell ref="C38:F38"/>
    <mergeCell ref="C39:F39"/>
    <mergeCell ref="C40:F40"/>
    <mergeCell ref="C41:F41"/>
    <mergeCell ref="A32:F32"/>
    <mergeCell ref="A33:F33"/>
    <mergeCell ref="A34:F34"/>
    <mergeCell ref="C35:F35"/>
    <mergeCell ref="C36:F36"/>
    <mergeCell ref="A26:F26"/>
    <mergeCell ref="B27:F27"/>
    <mergeCell ref="B28:F28"/>
    <mergeCell ref="B29:F29"/>
    <mergeCell ref="A30:F30"/>
    <mergeCell ref="B20:F20"/>
    <mergeCell ref="B21:F21"/>
    <mergeCell ref="B22:F22"/>
    <mergeCell ref="B23:F23"/>
    <mergeCell ref="B24:F24"/>
    <mergeCell ref="B14:F14"/>
    <mergeCell ref="A15:F15"/>
    <mergeCell ref="A17:F17"/>
    <mergeCell ref="B18:F18"/>
    <mergeCell ref="B19:F19"/>
    <mergeCell ref="B9:F9"/>
    <mergeCell ref="B10:F10"/>
    <mergeCell ref="B11:F11"/>
    <mergeCell ref="B12:F12"/>
    <mergeCell ref="B13:F13"/>
    <mergeCell ref="A1:F1"/>
    <mergeCell ref="A4:F4"/>
    <mergeCell ref="A5:F5"/>
    <mergeCell ref="A7:F7"/>
    <mergeCell ref="B8:F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Properties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Tanmay Ghadi</cp:lastModifiedBy>
  <cp:revision>0</cp:revision>
  <dcterms:created xsi:type="dcterms:W3CDTF">2026-08-22T08:44:27Z</dcterms:created>
  <dcterms:modified xsi:type="dcterms:W3CDTF">2026-08-22T08:57:34Z</dcterms:modified>
  <dc:language>en-US</dc:language>
</cp:coreProperties>
</file>